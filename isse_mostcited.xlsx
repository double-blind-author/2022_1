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beriri\Projects\2022_HICCS\revs\"/>
    </mc:Choice>
  </mc:AlternateContent>
  <bookViews>
    <workbookView xWindow="0" yWindow="0" windowWidth="28800" windowHeight="12300"/>
  </bookViews>
  <sheets>
    <sheet name="isse_results" sheetId="2" r:id="rId1"/>
    <sheet name="isse_bibliography" sheetId="3" r:id="rId2"/>
  </sheets>
  <definedNames>
    <definedName name="ICRA2020mostcited" localSheetId="0">isse_results!$O$3:$DJ$28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4" i="2"/>
</calcChain>
</file>

<file path=xl/connections.xml><?xml version="1.0" encoding="utf-8"?>
<connections xmlns="http://schemas.openxmlformats.org/spreadsheetml/2006/main">
  <connection id="1" name="ICRA2020mostcited1" type="6" refreshedVersion="6" background="1" saveData="1">
    <textPr codePage="65001" sourceFile="C:\Users\weberiri\Projects\2022_HICCS\ICRA2020mostcited.csv" decimal="," thousands="." comma="1">
      <textFields count="8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<sst xmlns="http://schemas.openxmlformats.org/spreadsheetml/2006/main" count="374" uniqueCount="171">
  <si>
    <t>Author</t>
  </si>
  <si>
    <t>Title</t>
  </si>
  <si>
    <t>artifact</t>
  </si>
  <si>
    <t>Description</t>
  </si>
  <si>
    <t>Demo</t>
  </si>
  <si>
    <t>DevAsSearch</t>
  </si>
  <si>
    <t>Eval</t>
  </si>
  <si>
    <t>ScientEval</t>
  </si>
  <si>
    <t>RQs</t>
  </si>
  <si>
    <t>Kcontr</t>
  </si>
  <si>
    <t>yes</t>
  </si>
  <si>
    <t>Eval meth</t>
  </si>
  <si>
    <t>Devprocess</t>
  </si>
  <si>
    <t>no</t>
  </si>
  <si>
    <t>type of Cont</t>
  </si>
  <si>
    <t>Desc</t>
  </si>
  <si>
    <t>Eval Valid</t>
  </si>
  <si>
    <t>Desc-Eval</t>
  </si>
  <si>
    <t>Desc-Demo</t>
  </si>
  <si>
    <t>method</t>
  </si>
  <si>
    <t>Author count</t>
  </si>
  <si>
    <t>Schema</t>
  </si>
  <si>
    <t>Comments</t>
  </si>
  <si>
    <t>https://ieeexplore.ieee.org/xpl/conhome/9187508/proceeding?isnumber=9196508&amp;sortType=paper-citations</t>
  </si>
  <si>
    <t>Albasir, A., Naik, K., Manzano, R., Shah, P., &amp; Naik, N. (2020). A Strongly Non-Intrusive Methodology to Monitor and Detect Anomalous Behaviour of Wireless Devices. 2020 IEEE International Symposium on Systems Engineering (ISSE), 1–8. https://doi.org/10.1109/ISSE49799.2020.9272246</t>
  </si>
  <si>
    <t>Albers, A., Fahl, J., Hirschter, T., Haag, S., Hunemeyer, S., &amp; Staiger, T. (2020). Defining, Formulating and Modeling Product Functions in the Early Phase in the Model of PGE — Product Generation Engineering. 2020 IEEE International Symposium on Systems Engineering (ISSE), 1–10. https://doi.org/10.1109/ISSE49799.2020.9272222</t>
  </si>
  <si>
    <t>Altundogan, T. G., &amp; Karakose, M. (2020). Genetic Algorithm Based Fuzzy Cognitive Map Concept Relationship Determination and Sigmoid Configuration. 2020 IEEE International Symposium on Systems Engineering (ISSE), 1–5. https://doi.org/10.1109/ISSE49799.2020.9272216</t>
  </si>
  <si>
    <t>Arani, M., Dastmard, M., Ebrahimi, Z. D., Momenitabar, M., &amp; Liu, X. (2020). Optimizing the Total Production and Maintenance Cost of an Integrated Multi-Product Process and Maintenance Planning (IPPMP) Model. 2020 IEEE International Symposium on Systems Engineering (ISSE), 1–8. https://doi.org/10.1109/ISSE49799.2020.9272236</t>
  </si>
  <si>
    <t>Ashiku, L., &amp; Dagli, C. (2020). Agent Based Cybersecurity Model for Business Entity Risk Assessment. 2020 IEEE International Symposium on Systems Engineering (ISSE), 1–6. https://doi.org/10.1109/ISSE49799.2020.9272234</t>
  </si>
  <si>
    <t>Benhaddou, D., Harikumar, M., Chen, J., Han, Z., Bhaskar, V., &amp; Abdelhadi, A. (2020). Coordinated Multipoint User Scheduling for 5G Cloud Radio Access Network. 2020 IEEE International Symposium on Systems Engineering (ISSE), 1–7. https://doi.org/10.1109/ISSE49799.2020.9272226</t>
  </si>
  <si>
    <t>Cebeloglu, F. S., &amp; Karakose, M. (2020). Comparative Analysis of Cyber Security Approaches Using Machine Learning in Industry 4.0. 2020 IEEE International Symposium on Systems Engineering (ISSE), 1–5. https://doi.org/10.1109/ISSE49799.2020.9272237</t>
  </si>
  <si>
    <t>Chapurlat, V., &amp; Nastov, B. (2020). Deploying MBSE in SME context: Revisiting and equipping Digital Mock-Up. 2020 IEEE International Symposium on Systems Engineering (ISSE), 1–8. https://doi.org/10.1109/ISSE49799.2020.9272230</t>
  </si>
  <si>
    <t>Ciani, L., Guidi, G., &amp; Galar, D. (2020). Reliability evaluation of an HVAC ventilation system with FTA and RBD analysis. 2020 IEEE International Symposium on Systems Engineering (ISSE), 1–5. https://doi.org/10.1109/ISSE49799.2020.9272024</t>
  </si>
  <si>
    <t>de la Vega, F., Garcia-Martin, J. P., Santos, G. P., &amp; Torralba, A. (2020). Implementation of a Fiware-based Integration Platform and a Web Portal as Aids to Improve the Control of Ships Navigation in a River. 2020 IEEE International Symposium on Systems Engineering (ISSE), 1–3. https://doi.org/10.1109/ISSE49799.2020.9272242</t>
  </si>
  <si>
    <t>Elspas, P., Langner, J., Aydinbas, M., Bach, J., &amp; Sax, E. (2020). Leveraging Regular Expressions for Flexible Scenario Detection in Recorded Driving Data. 2020 IEEE International Symposium on Systems Engineering (ISSE), 1–8. https://doi.org/10.1109/ISSE49799.2020.9272025</t>
  </si>
  <si>
    <t>Gaignebet, A., Chapurlat, V., Zacharewicz, G., Richet, V., &amp; Plana, R. (2020). A contribution to Commissioning as enabler of nuclear infrastructure delivery: Tests and trials program elaboration and management. 2020 IEEE International Symposium on Systems Engineering (ISSE), 1–8. https://doi.org/10.1109/ISSE49799.2020.9272027</t>
  </si>
  <si>
    <t>Grote, E.-M., Pfeifer, S. A., Roltgen, D., Kuhn, A., &amp; Dumitrescu, R. (2020). Towards Defining Role Models in Advanced Systems Engineering. 2020 IEEE International Symposium on Systems Engineering (ISSE), 1–7. https://doi.org/10.1109/ISSE49799.2020.9272225</t>
  </si>
  <si>
    <t>Jimenez Broas, R. F. (2020). An Application of Systems Thinking: Upgrading Modular Systems through the Incorporation of New Technologies or Innovations. 2020 IEEE International Symposium on Systems Engineering (ISSE), 1–3. https://doi.org/10.1109/ISSE49799.2020.9272218</t>
  </si>
  <si>
    <t>Kern, M., Taspolatoglu, E., Scheytt, F., Glock, T., Liu, B., Betancourt, V. P., Becker, J., &amp; Sax, E. (2020). An Architecture-based Modeling Approach Using Data Flows for Zone Concepts in Industry 4.0. 2020 IEEE International Symposium on Systems Engineering (ISSE), 1–8. https://doi.org/10.1109/ISSE49799.2020.9272013</t>
  </si>
  <si>
    <t>King, C., Ries, L., Langner, J., &amp; Sax, E. (2020). A Taxonomy and Survey on Validation Approaches for Automated Driving Systems. 2020 IEEE International Symposium on Systems Engineering (ISSE), 1–8. https://doi.org/10.1109/ISSE49799.2020.9272219</t>
  </si>
  <si>
    <t>Kodaka, A., Ono, T., Watanabe, K., Leelawat, N., Chintanapakdee, C., Tang, J., Ino, E., &amp; Kohtake, N. (2020). A Dependent Activities Elicitation Method for Designing Area Business Continuity Management. 2020 IEEE International Symposium on Systems Engineering (ISSE), 1–6. https://doi.org/10.1109/ISSE49799.2020.9272221</t>
  </si>
  <si>
    <t>Kurgan, A., Maggiore, P., &amp; Golkar, A. (2020). Integrated Design Methodology for Improved System Manufacturability. 2020 IEEE International Symposium on Systems Engineering (ISSE), 1–7. https://doi.org/10.1109/ISSE49799.2020.9272211</t>
  </si>
  <si>
    <t>Muzzinoglu, T., &amp; Karakose, M. (2020). Wearable Glove Based Approach for Human-UAV Interaction. 2020 IEEE International Symposium on Systems Engineering (ISSE), 1–6. https://doi.org/10.1109/ISSE49799.2020.9272208</t>
  </si>
  <si>
    <t>Naik, N., &amp; Jenkins, P. (2020a). Governing Principles of Self-Sovereign Identity Applied to Blockchain Enabled Privacy Preserving Identity Management Systems. 2020 IEEE International Symposium on Systems Engineering (ISSE), 1–6. https://doi.org/10.1109/ISSE49799.2020.9272212</t>
  </si>
  <si>
    <t>Naik, N., &amp; Jenkins, P. (2020b). uPort Open-Source Identity Management System: An Assessment of Self-Sovereign Identity and User-Centric Data Platform Built on Blockchain. 2020 IEEE International Symposium on Systems Engineering (ISSE), 1–7. https://doi.org/10.1109/ISSE49799.2020.9272223</t>
  </si>
  <si>
    <t>Rana, M. M., &amp; Abdelhadi, A. (2020). Attack-Resilient Smart Grid Dynamic State Estimation Algorithm. 2020 IEEE International Symposium on Systems Engineering (ISSE), 1–5. https://doi.org/10.1109/ISSE49799.2020.9272019</t>
  </si>
  <si>
    <t>Rana, M. M., Abdelhadi, A., &amp; Bo, R. (2020). Distributed Attack-Resilient Grid State Estimation Algorithm Using Optimal Filter and Graph Theory. 2020 IEEE International Symposium on Systems Engineering (ISSE), 1–5. https://doi.org/10.1109/ISSE49799.2020.9272241</t>
  </si>
  <si>
    <t>Tekinerdogan, B., Ozcan, K., Yagiz, S., &amp; Yakin, I. (2020). Systems Engineering Architecture Framework for Physical Protection Systems. 2020 IEEE International Symposium on Systems Engineering (ISSE), 1–8. https://doi.org/10.1109/ISSE49799.2020.9272215</t>
  </si>
  <si>
    <t>Tekinerdogan, B., Yakin, I., Yagiz, S., &amp; Ozcan, K. (2020). Product Line Architecture Design of Software-Intensive Physical Protection Systems. 2020 IEEE International Symposium on Systems Engineering (ISSE), 1–8. https://doi.org/10.1109/ISSE49799.2020.9272239</t>
  </si>
  <si>
    <t>Gaignebet, Alan; Chapurlat, Vincent; Zacharewicz, Gregory; Richet, Victor; Plana, Robert</t>
  </si>
  <si>
    <t>A contribution to Commissioning as enabler of nuclear infrastructure delivery: Tests and trials program elaboration and management</t>
  </si>
  <si>
    <t>Kodaka, Akira; Ono, Takahiro; Watanabe, Kenji; Leelawat, Natt; Chintanapakdee, Chatpan; Tang, Jing; Ino, Eri; Kohtake, Naohiko</t>
  </si>
  <si>
    <t>A Dependent Activities Elicitation Method for Designing Area Business Continuity Management</t>
  </si>
  <si>
    <t>Albasir, Abdurhman; Naik, Kshirasagar; Manzano, Ricardo; Shah, Parth; Naik, Nitin</t>
  </si>
  <si>
    <t>A Strongly Non-Intrusive Methodology to Monitor and Detect Anomalous Behaviour of Wireless Devices</t>
  </si>
  <si>
    <t>King, Christian; Ries, Lennart; Langner, Jacob; Sax, Eric</t>
  </si>
  <si>
    <t>A Taxonomy and Survey on Validation Approaches for Automated Driving Systems</t>
  </si>
  <si>
    <t>Ashiku, Lirim; Dagli, Cihan</t>
  </si>
  <si>
    <t>Agent Based Cybersecurity Model for Business Entity Risk Assessment</t>
  </si>
  <si>
    <t>Jimenez Broas, Romulo F.</t>
  </si>
  <si>
    <t>An Application of Systems Thinking: Upgrading Modular Systems through the Incorporation of New Technologies or Innovations</t>
  </si>
  <si>
    <t>Kern, Matthias; Taspolatoglu, Emre; Scheytt, Fabian; Glock, Thomas; Liu, Bo; Betancourt, Victor Pazmino; Becker, Juergen; Sax, Eric</t>
  </si>
  <si>
    <t>An Architecture-based Modeling Approach Using Data Flows for Zone Concepts in Industry 4.0</t>
  </si>
  <si>
    <t>Rana, Md Masud; Abdelhadi, Ahmed</t>
  </si>
  <si>
    <t>Attack-Resilient Smart Grid Dynamic State Estimation Algorithm</t>
  </si>
  <si>
    <t>Cebeloglu, F. Sumeyye; Karakose, Mehmet</t>
  </si>
  <si>
    <t>Comparative Analysis of Cyber Security Approaches Using Machine Learning in Industry 4.0</t>
  </si>
  <si>
    <t>Benhaddou, Driss; Harikumar, Mayuri; Chen, Ji; Han, Zhu; Bhaskar, Vidhyacharan; Abdelhadi, Ahmed</t>
  </si>
  <si>
    <t>Coordinated Multipoint User Scheduling for 5G Cloud Radio Access Network</t>
  </si>
  <si>
    <t>Albers, Albert; Fahl, Joshua; Hirschter, Tobias; Haag, Steffen; Hunemeyer, Sebastian; Staiger, Tim</t>
  </si>
  <si>
    <t>Defining, Formulating and Modeling Product Functions in the Early Phase in the Model of PGE — Product Generation Engineering</t>
  </si>
  <si>
    <t>Chapurlat, Vincent; Nastov, Blazo</t>
  </si>
  <si>
    <t>Deploying MBSE in SME context: revisiting and equipping Digital Mock-Up</t>
  </si>
  <si>
    <t>Rana, Md Masud; Abdelhadi, Ahmed; Bo, Rui</t>
  </si>
  <si>
    <t>Distributed Attack-Resilient Grid State Estimation Algorithm Using Optimal Filter and Graph Theory</t>
  </si>
  <si>
    <t>Altundogan, Turan Goktug; Karakose, Mehmet</t>
  </si>
  <si>
    <t>Genetic Algorithm Based Fuzzy Cognitive Map Concept Relationship Determination and Sigmoid Configuration</t>
  </si>
  <si>
    <t>Naik, Nitin; Jenkins, Paul</t>
  </si>
  <si>
    <t>Governing Principles of Self-Sovereign Identity Applied to Blockchain Enabled Privacy Preserving Identity Management Systems</t>
  </si>
  <si>
    <t>de la Vega, Francisco; Garcia-Martin, Juan Pablo; Santos, German P.; Torralba, Antonio</t>
  </si>
  <si>
    <t>Implementation of a Fiware-based Integration Platform and a Web Portal as Aids to Improve the Control of Ships Navigation in a River</t>
  </si>
  <si>
    <t>Kurgan, Arzu; Maggiore, Paolo; Golkar, Alessandro</t>
  </si>
  <si>
    <t>Integrated Design Methodology for Improved System Manufacturability</t>
  </si>
  <si>
    <t>Elspas, Philip; Langner, Jacob; Aydinbas, Michael; Bach, Johannes; Sax, Eric</t>
  </si>
  <si>
    <t>Leveraging Regular Expressions for Flexible Scenario Detection in Recorded Driving Data</t>
  </si>
  <si>
    <t>Arani, Mohammad; Dastmard, Mousaalreza; Ebrahimi, Zhila Dehdari; Momenitabar, Mohsen; Liu, Xian</t>
  </si>
  <si>
    <t>Optimizing the Total Production and Maintenance Cost of an Integrated Multi-Product Process and Maintenance Planning (IPPMP) Model</t>
  </si>
  <si>
    <t>Tekinerdogan, Bedir; Yakin, Iskender; Yagiz, Sevil; Ozcan, Kaan</t>
  </si>
  <si>
    <t>Product Line Architecture Design of Software-Intensive Physical Protection Systems</t>
  </si>
  <si>
    <t>Ciani, Lorenzo; Guidi, Giulia; Galar, Diego</t>
  </si>
  <si>
    <t>Reliability evaluation of an HVAC ventilation system with FTA and RBD analysis</t>
  </si>
  <si>
    <t>Tekinerdogan, Bedir; Ozcan, Kaan; Yagiz, Sevil; Yakin, Iskender</t>
  </si>
  <si>
    <t>Systems Engineering Architecture Framework for Physical Protection Systems</t>
  </si>
  <si>
    <t>Grote, Eva-Maria; Pfeifer, Stefan Achilles; Roltgen, Daniel; Kuhn, Arno; Dumitrescu, Roman</t>
  </si>
  <si>
    <t>Towards Defining Role Models in Advanced Systems Engineering</t>
  </si>
  <si>
    <t>uPort Open-Source Identity Management System: An Assessment of Self-Sovereign Identity and User-Centric Data Platform Built on Blockchain</t>
  </si>
  <si>
    <t>Muzzinoglu, Taha; Karakose, Mehmet</t>
  </si>
  <si>
    <t>Wearable Glove Based Approach for Human-UAV Interaction</t>
  </si>
  <si>
    <t>new methodology</t>
  </si>
  <si>
    <t>SCIENTIFIC APPROACH</t>
  </si>
  <si>
    <t>elaborated on a domain-specific level</t>
  </si>
  <si>
    <t>no (hints that decisions were taken)</t>
  </si>
  <si>
    <t>yes (following Model-Based Systems Engineering ( MBSE ))</t>
  </si>
  <si>
    <t>difficult to understand</t>
  </si>
  <si>
    <t xml:space="preserve">application to 2 projects </t>
  </si>
  <si>
    <t>Devel-Desc-Demo</t>
  </si>
  <si>
    <t>a tangible method</t>
  </si>
  <si>
    <t>verified through a workshop</t>
  </si>
  <si>
    <t>Devel-Desc-Eval</t>
  </si>
  <si>
    <t>observation method</t>
  </si>
  <si>
    <t>artifact+evaluation</t>
  </si>
  <si>
    <t>Desc-Demo-Eval</t>
  </si>
  <si>
    <t>tests</t>
  </si>
  <si>
    <t>taxonomy</t>
  </si>
  <si>
    <t>taxonomy+survey on the state-of-the-art</t>
  </si>
  <si>
    <t>n/a</t>
  </si>
  <si>
    <t>yes (but only in the title)</t>
  </si>
  <si>
    <t>simulation model</t>
  </si>
  <si>
    <t>none</t>
  </si>
  <si>
    <t>domain-specific language (DSL)+methodology</t>
  </si>
  <si>
    <t>no (short mention in the conclusion)</t>
  </si>
  <si>
    <t>algorithm</t>
  </si>
  <si>
    <t>simulation experiment</t>
  </si>
  <si>
    <t>CoMP user task scheduling algorithm</t>
  </si>
  <si>
    <t>artifact+simulation</t>
  </si>
  <si>
    <t xml:space="preserve"> yes, several variants were implemented</t>
  </si>
  <si>
    <t>definition, formulation and model</t>
  </si>
  <si>
    <t>yes (not all DSR-related)</t>
  </si>
  <si>
    <t>Design Research Methodology</t>
  </si>
  <si>
    <t>[33]Blessing, L., Chakrabarti, A., 2009. An Anthology of Theories a nd Models of Design. Springer-Verlag, London, England.</t>
  </si>
  <si>
    <t>no (DSR methods claimed, but not shown)</t>
  </si>
  <si>
    <t>survey, demo application, etc</t>
  </si>
  <si>
    <t>indicated in further work</t>
  </si>
  <si>
    <t>theoretical</t>
  </si>
  <si>
    <t xml:space="preserve">yes (in conclusion) </t>
  </si>
  <si>
    <t>approach</t>
  </si>
  <si>
    <t xml:space="preserve"> </t>
  </si>
  <si>
    <t>difficult to understand the structure - therefor excluded</t>
  </si>
  <si>
    <t>model+method+simulaton</t>
  </si>
  <si>
    <t>yes (several versions)</t>
  </si>
  <si>
    <t>instance+method</t>
  </si>
  <si>
    <t xml:space="preserve">                                          </t>
  </si>
  <si>
    <t>principles</t>
  </si>
  <si>
    <t>comparative analysis</t>
  </si>
  <si>
    <t>emphasize "evolving"</t>
  </si>
  <si>
    <t>very short 3-page paper</t>
  </si>
  <si>
    <t>intensive use of design methodologies</t>
  </si>
  <si>
    <t>yes   "this paper shall be considered as preliminary, as we are iterating on the development of the methodology"</t>
  </si>
  <si>
    <t>case study</t>
  </si>
  <si>
    <t>approach (social method)</t>
  </si>
  <si>
    <t>external validity "Nevertheless, we are yet to determine the extent to which it is possible to generalize those results to a broader category of systems."</t>
  </si>
  <si>
    <t>yes "Future work needs to validate the methodology on a representative set of case studies, possibly with the involvement of industry partners."</t>
  </si>
  <si>
    <t>yes "While a comprehensive evaluation of neural networks for verification of rule based heuristics is out of the scope of this work"</t>
  </si>
  <si>
    <t>test with examples</t>
  </si>
  <si>
    <t xml:space="preserve"> no</t>
  </si>
  <si>
    <t>approach+theory</t>
  </si>
  <si>
    <t>model (equation)</t>
  </si>
  <si>
    <t>yes (example calculation)</t>
  </si>
  <si>
    <t>yes (tiny section)</t>
  </si>
  <si>
    <t xml:space="preserve">excluded - describes a process, not development of an artifact </t>
  </si>
  <si>
    <t>excluded - study</t>
  </si>
  <si>
    <t>architecture framework (meta-model)</t>
  </si>
  <si>
    <t>Author from Industry/Practice involved</t>
  </si>
  <si>
    <t>excluded - analysis</t>
  </si>
  <si>
    <t>develop an app in order to do analysis</t>
  </si>
  <si>
    <t>ecxluded - analysis</t>
  </si>
  <si>
    <t>wearable smart gloves are designed for human-UAV interaction</t>
  </si>
  <si>
    <t>yes, Flowchat of development process</t>
  </si>
  <si>
    <t>yes /informal</t>
  </si>
  <si>
    <t>yes (little detail)</t>
  </si>
  <si>
    <t>citations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</si>
</sst>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14" fontId="0" fillId="0" borderId="0" xfId="0" applyNumberFormat="1" applyFill="1"/>
    <xf numFmtId="22" fontId="0" fillId="0" borderId="0" xfId="0" applyNumberFormat="1" applyFill="1"/>
    <xf numFmtId="0" fontId="1" fillId="0" borderId="1" xfId="1" applyFill="1"/>
    <xf numFmtId="0" fontId="2" fillId="0" borderId="0" xfId="2" applyAlignment="1">
      <alignment horizontal="left" vertical="center" indent="2"/>
    </xf>
    <xf numFmtId="0" fontId="3" fillId="0" borderId="0" xfId="0" applyFont="1" applyFill="1"/>
    <xf numFmtId="14" fontId="3" fillId="0" borderId="0" xfId="0" applyNumberFormat="1" applyFont="1" applyFill="1"/>
    <xf numFmtId="22" fontId="3" fillId="0" borderId="0" xfId="0" applyNumberFormat="1" applyFont="1" applyFill="1"/>
    <xf numFmtId="0" fontId="1" fillId="0" borderId="0" xfId="1" applyFill="1" applyBorder="1"/>
  </cellXfs>
  <cellStyles count="3">
    <cellStyle name="Link" xfId="2" builtinId="8"/>
    <cellStyle name="Standard" xfId="0" builtinId="0"/>
    <cellStyle name="Überschrift 3" xfId="1" builtinId="18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ICRA2020mostcit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ISSE49799.2020.9272230" TargetMode="External"/><Relationship Id="rId13" Type="http://schemas.openxmlformats.org/officeDocument/2006/relationships/hyperlink" Target="https://doi.org/10.1109/ISSE49799.2020.9272225" TargetMode="External"/><Relationship Id="rId18" Type="http://schemas.openxmlformats.org/officeDocument/2006/relationships/hyperlink" Target="https://doi.org/10.1109/ISSE49799.2020.9272211" TargetMode="External"/><Relationship Id="rId3" Type="http://schemas.openxmlformats.org/officeDocument/2006/relationships/hyperlink" Target="https://doi.org/10.1109/ISSE49799.2020.9272216" TargetMode="External"/><Relationship Id="rId21" Type="http://schemas.openxmlformats.org/officeDocument/2006/relationships/hyperlink" Target="https://doi.org/10.1109/ISSE49799.2020.9272223" TargetMode="External"/><Relationship Id="rId7" Type="http://schemas.openxmlformats.org/officeDocument/2006/relationships/hyperlink" Target="https://doi.org/10.1109/ISSE49799.2020.9272237" TargetMode="External"/><Relationship Id="rId12" Type="http://schemas.openxmlformats.org/officeDocument/2006/relationships/hyperlink" Target="https://doi.org/10.1109/ISSE49799.2020.9272027" TargetMode="External"/><Relationship Id="rId17" Type="http://schemas.openxmlformats.org/officeDocument/2006/relationships/hyperlink" Target="https://doi.org/10.1109/ISSE49799.2020.9272221" TargetMode="External"/><Relationship Id="rId25" Type="http://schemas.openxmlformats.org/officeDocument/2006/relationships/hyperlink" Target="https://doi.org/10.1109/ISSE49799.2020.9272239" TargetMode="External"/><Relationship Id="rId2" Type="http://schemas.openxmlformats.org/officeDocument/2006/relationships/hyperlink" Target="https://doi.org/10.1109/ISSE49799.2020.9272222" TargetMode="External"/><Relationship Id="rId16" Type="http://schemas.openxmlformats.org/officeDocument/2006/relationships/hyperlink" Target="https://doi.org/10.1109/ISSE49799.2020.9272219" TargetMode="External"/><Relationship Id="rId20" Type="http://schemas.openxmlformats.org/officeDocument/2006/relationships/hyperlink" Target="https://doi.org/10.1109/ISSE49799.2020.9272212" TargetMode="External"/><Relationship Id="rId1" Type="http://schemas.openxmlformats.org/officeDocument/2006/relationships/hyperlink" Target="https://doi.org/10.1109/ISSE49799.2020.9272246" TargetMode="External"/><Relationship Id="rId6" Type="http://schemas.openxmlformats.org/officeDocument/2006/relationships/hyperlink" Target="https://doi.org/10.1109/ISSE49799.2020.9272226" TargetMode="External"/><Relationship Id="rId11" Type="http://schemas.openxmlformats.org/officeDocument/2006/relationships/hyperlink" Target="https://doi.org/10.1109/ISSE49799.2020.9272025" TargetMode="External"/><Relationship Id="rId24" Type="http://schemas.openxmlformats.org/officeDocument/2006/relationships/hyperlink" Target="https://doi.org/10.1109/ISSE49799.2020.9272215" TargetMode="External"/><Relationship Id="rId5" Type="http://schemas.openxmlformats.org/officeDocument/2006/relationships/hyperlink" Target="https://doi.org/10.1109/ISSE49799.2020.9272234" TargetMode="External"/><Relationship Id="rId15" Type="http://schemas.openxmlformats.org/officeDocument/2006/relationships/hyperlink" Target="https://doi.org/10.1109/ISSE49799.2020.9272013" TargetMode="External"/><Relationship Id="rId23" Type="http://schemas.openxmlformats.org/officeDocument/2006/relationships/hyperlink" Target="https://doi.org/10.1109/ISSE49799.2020.9272241" TargetMode="External"/><Relationship Id="rId10" Type="http://schemas.openxmlformats.org/officeDocument/2006/relationships/hyperlink" Target="https://doi.org/10.1109/ISSE49799.2020.9272242" TargetMode="External"/><Relationship Id="rId19" Type="http://schemas.openxmlformats.org/officeDocument/2006/relationships/hyperlink" Target="https://doi.org/10.1109/ISSE49799.2020.9272208" TargetMode="External"/><Relationship Id="rId4" Type="http://schemas.openxmlformats.org/officeDocument/2006/relationships/hyperlink" Target="https://doi.org/10.1109/ISSE49799.2020.9272236" TargetMode="External"/><Relationship Id="rId9" Type="http://schemas.openxmlformats.org/officeDocument/2006/relationships/hyperlink" Target="https://doi.org/10.1109/ISSE49799.2020.9272024" TargetMode="External"/><Relationship Id="rId14" Type="http://schemas.openxmlformats.org/officeDocument/2006/relationships/hyperlink" Target="https://doi.org/10.1109/ISSE49799.2020.9272218" TargetMode="External"/><Relationship Id="rId22" Type="http://schemas.openxmlformats.org/officeDocument/2006/relationships/hyperlink" Target="https://doi.org/10.1109/ISSE49799.2020.927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"/>
  <sheetViews>
    <sheetView tabSelected="1" topLeftCell="O1" workbookViewId="0">
      <selection activeCell="O1" sqref="A1:XFD1048576"/>
    </sheetView>
  </sheetViews>
  <sheetFormatPr baseColWidth="10" defaultRowHeight="15" x14ac:dyDescent="0.25"/>
  <cols>
    <col min="1" max="1" width="31.85546875" style="1" customWidth="1"/>
    <col min="2" max="4" width="11.42578125" style="1"/>
    <col min="5" max="5" width="15" style="1" bestFit="1" customWidth="1"/>
    <col min="6" max="6" width="25.28515625" style="1" bestFit="1" customWidth="1"/>
    <col min="7" max="7" width="27.42578125" style="1" customWidth="1"/>
    <col min="8" max="10" width="11.42578125" style="1"/>
    <col min="11" max="11" width="8.5703125" style="1" customWidth="1"/>
    <col min="12" max="12" width="27.85546875" style="1" customWidth="1"/>
    <col min="13" max="13" width="10.28515625" style="1" customWidth="1"/>
    <col min="14" max="14" width="31.140625" style="1" bestFit="1" customWidth="1"/>
    <col min="15" max="15" width="35.5703125" style="1" customWidth="1"/>
    <col min="16" max="16" width="81.140625" style="1" bestFit="1" customWidth="1"/>
    <col min="17" max="17" width="64.5703125" style="1" bestFit="1" customWidth="1"/>
    <col min="18" max="18" width="6.5703125" style="1" customWidth="1"/>
    <col min="19" max="19" width="11" style="1" customWidth="1"/>
    <col min="20" max="20" width="14" style="1" bestFit="1" customWidth="1"/>
    <col min="21" max="33" width="64.5703125" style="1" customWidth="1"/>
    <col min="34" max="34" width="9.85546875" style="1" bestFit="1" customWidth="1"/>
    <col min="35" max="35" width="5" style="1" bestFit="1" customWidth="1"/>
    <col min="36" max="36" width="30.140625" style="1" bestFit="1" customWidth="1"/>
    <col min="37" max="37" width="3.5703125" style="1" bestFit="1" customWidth="1"/>
    <col min="38" max="38" width="13.140625" style="1" bestFit="1" customWidth="1"/>
    <col min="39" max="39" width="10.140625" style="1" bestFit="1" customWidth="1"/>
    <col min="40" max="41" width="15.140625" style="1" bestFit="1" customWidth="1"/>
    <col min="42" max="42" width="11.42578125" style="1"/>
    <col min="43" max="43" width="11.7109375" style="1" bestFit="1" customWidth="1"/>
    <col min="44" max="44" width="10.85546875" style="1" bestFit="1" customWidth="1"/>
    <col min="45" max="45" width="5.5703125" style="1" bestFit="1" customWidth="1"/>
    <col min="46" max="46" width="8" style="1" bestFit="1" customWidth="1"/>
    <col min="47" max="47" width="19.28515625" style="1" bestFit="1" customWidth="1"/>
    <col min="48" max="48" width="19.5703125" style="1" bestFit="1" customWidth="1"/>
    <col min="49" max="49" width="10.140625" style="1" bestFit="1" customWidth="1"/>
    <col min="50" max="50" width="6.42578125" style="1" bestFit="1" customWidth="1"/>
    <col min="51" max="51" width="14.140625" style="1" bestFit="1" customWidth="1"/>
    <col min="52" max="52" width="10.7109375" style="1" bestFit="1" customWidth="1"/>
    <col min="53" max="53" width="10.85546875" style="1" bestFit="1" customWidth="1"/>
    <col min="54" max="54" width="9.42578125" style="1" bestFit="1" customWidth="1"/>
    <col min="55" max="55" width="5.7109375" style="1" bestFit="1" customWidth="1"/>
    <col min="56" max="56" width="9.28515625" style="1" bestFit="1" customWidth="1"/>
    <col min="57" max="57" width="6.42578125" style="1" bestFit="1" customWidth="1"/>
    <col min="58" max="58" width="5.28515625" style="1" bestFit="1" customWidth="1"/>
    <col min="59" max="59" width="7.7109375" style="1" bestFit="1" customWidth="1"/>
    <col min="60" max="60" width="15.5703125" style="1" bestFit="1" customWidth="1"/>
    <col min="61" max="61" width="14" style="1" bestFit="1" customWidth="1"/>
    <col min="62" max="62" width="12" style="1" bestFit="1" customWidth="1"/>
    <col min="63" max="63" width="81.140625" style="1" bestFit="1" customWidth="1"/>
    <col min="64" max="64" width="6.28515625" style="1" bestFit="1" customWidth="1"/>
    <col min="65" max="65" width="81.140625" style="1" bestFit="1" customWidth="1"/>
    <col min="66" max="66" width="16.42578125" style="1" bestFit="1" customWidth="1"/>
    <col min="67" max="67" width="11.85546875" style="1" bestFit="1" customWidth="1"/>
    <col min="68" max="68" width="14.42578125" style="1" bestFit="1" customWidth="1"/>
    <col min="69" max="69" width="6.28515625" style="1" bestFit="1" customWidth="1"/>
    <col min="70" max="70" width="12.140625" style="1" bestFit="1" customWidth="1"/>
    <col min="71" max="71" width="9.85546875" style="1" bestFit="1" customWidth="1"/>
    <col min="72" max="72" width="11.28515625" style="1" bestFit="1" customWidth="1"/>
    <col min="73" max="73" width="14.5703125" style="1" bestFit="1" customWidth="1"/>
    <col min="74" max="74" width="12" style="1" bestFit="1" customWidth="1"/>
    <col min="75" max="75" width="12.7109375" style="1" bestFit="1" customWidth="1"/>
    <col min="76" max="76" width="11.5703125" style="1" bestFit="1" customWidth="1"/>
    <col min="77" max="77" width="10" style="1" bestFit="1" customWidth="1"/>
    <col min="78" max="78" width="10.28515625" style="1" bestFit="1" customWidth="1"/>
    <col min="79" max="79" width="8.140625" style="1" bestFit="1" customWidth="1"/>
    <col min="80" max="80" width="11.42578125" style="1"/>
    <col min="81" max="81" width="9" style="1" bestFit="1" customWidth="1"/>
    <col min="82" max="82" width="9.42578125" style="1" bestFit="1" customWidth="1"/>
    <col min="83" max="83" width="16.5703125" style="1" bestFit="1" customWidth="1"/>
    <col min="84" max="84" width="11.42578125" style="1"/>
    <col min="85" max="85" width="9.28515625" style="1" bestFit="1" customWidth="1"/>
    <col min="86" max="86" width="6.140625" style="1" bestFit="1" customWidth="1"/>
    <col min="87" max="87" width="8.28515625" style="1" bestFit="1" customWidth="1"/>
    <col min="88" max="88" width="7.28515625" style="1" bestFit="1" customWidth="1"/>
    <col min="89" max="89" width="13.140625" style="1" bestFit="1" customWidth="1"/>
    <col min="90" max="90" width="5.5703125" style="1" bestFit="1" customWidth="1"/>
    <col min="91" max="91" width="8.42578125" style="1" bestFit="1" customWidth="1"/>
    <col min="92" max="92" width="12.140625" style="1" bestFit="1" customWidth="1"/>
    <col min="93" max="93" width="10.42578125" style="1" bestFit="1" customWidth="1"/>
    <col min="94" max="94" width="19" style="1" bestFit="1" customWidth="1"/>
    <col min="95" max="95" width="9" style="1" bestFit="1" customWidth="1"/>
    <col min="96" max="96" width="16.140625" style="1" bestFit="1" customWidth="1"/>
    <col min="97" max="97" width="8" style="1" bestFit="1" customWidth="1"/>
    <col min="98" max="98" width="14.140625" style="1" bestFit="1" customWidth="1"/>
    <col min="99" max="99" width="64.5703125" style="1" bestFit="1" customWidth="1"/>
    <col min="100" max="100" width="5.85546875" style="1" bestFit="1" customWidth="1"/>
    <col min="101" max="101" width="11" style="1" bestFit="1" customWidth="1"/>
    <col min="102" max="102" width="8.85546875" style="1" bestFit="1" customWidth="1"/>
    <col min="103" max="103" width="11.42578125" style="1"/>
    <col min="104" max="104" width="16.28515625" style="1" bestFit="1" customWidth="1"/>
    <col min="105" max="105" width="21.85546875" style="1" bestFit="1" customWidth="1"/>
    <col min="106" max="106" width="7.85546875" style="1" bestFit="1" customWidth="1"/>
    <col min="107" max="107" width="7.42578125" style="1" bestFit="1" customWidth="1"/>
    <col min="108" max="108" width="5.5703125" style="1" bestFit="1" customWidth="1"/>
    <col min="109" max="109" width="13.28515625" style="1" bestFit="1" customWidth="1"/>
    <col min="110" max="110" width="7.5703125" style="1" bestFit="1" customWidth="1"/>
    <col min="111" max="111" width="7.7109375" style="1" bestFit="1" customWidth="1"/>
    <col min="112" max="112" width="11" style="1" bestFit="1" customWidth="1"/>
    <col min="113" max="113" width="7.28515625" style="1" bestFit="1" customWidth="1"/>
    <col min="114" max="114" width="15.28515625" style="1" bestFit="1" customWidth="1"/>
    <col min="115" max="16384" width="11.42578125" style="1"/>
  </cols>
  <sheetData>
    <row r="1" spans="1:41" x14ac:dyDescent="0.25">
      <c r="G1" s="1" t="s">
        <v>23</v>
      </c>
    </row>
    <row r="3" spans="1:41" ht="15.75" thickBot="1" x14ac:dyDescent="0.3">
      <c r="A3" s="4" t="s">
        <v>21</v>
      </c>
      <c r="B3" s="4" t="s">
        <v>8</v>
      </c>
      <c r="C3" s="4" t="s">
        <v>99</v>
      </c>
      <c r="D3" s="4" t="s">
        <v>3</v>
      </c>
      <c r="E3" s="4" t="s">
        <v>4</v>
      </c>
      <c r="F3" s="4" t="s">
        <v>12</v>
      </c>
      <c r="G3" s="4" t="s">
        <v>5</v>
      </c>
      <c r="H3" s="4" t="s">
        <v>6</v>
      </c>
      <c r="I3" s="4" t="s">
        <v>16</v>
      </c>
      <c r="J3" s="4" t="s">
        <v>7</v>
      </c>
      <c r="K3" s="4" t="s">
        <v>9</v>
      </c>
      <c r="L3" s="4" t="s">
        <v>14</v>
      </c>
      <c r="M3" s="4" t="s">
        <v>22</v>
      </c>
      <c r="N3" s="4" t="s">
        <v>11</v>
      </c>
      <c r="O3" s="4" t="s">
        <v>2</v>
      </c>
      <c r="P3" s="4" t="s">
        <v>1</v>
      </c>
      <c r="Q3" s="4" t="s">
        <v>0</v>
      </c>
      <c r="R3" s="4" t="s">
        <v>20</v>
      </c>
      <c r="S3" s="4" t="s">
        <v>162</v>
      </c>
      <c r="T3" s="9" t="s">
        <v>170</v>
      </c>
    </row>
    <row r="4" spans="1:41" x14ac:dyDescent="0.25">
      <c r="A4" s="1" t="s">
        <v>108</v>
      </c>
      <c r="B4" s="1" t="s">
        <v>13</v>
      </c>
      <c r="C4" s="1" t="s">
        <v>100</v>
      </c>
      <c r="D4" s="1" t="s">
        <v>10</v>
      </c>
      <c r="E4" s="1" t="s">
        <v>13</v>
      </c>
      <c r="F4" s="1" t="s">
        <v>102</v>
      </c>
      <c r="G4" s="1" t="s">
        <v>101</v>
      </c>
      <c r="H4" s="1" t="s">
        <v>13</v>
      </c>
      <c r="I4" s="1" t="s">
        <v>13</v>
      </c>
      <c r="J4" s="1" t="s">
        <v>13</v>
      </c>
      <c r="K4" s="1" t="s">
        <v>116</v>
      </c>
      <c r="M4" s="1" t="s">
        <v>103</v>
      </c>
      <c r="N4" s="1" t="s">
        <v>104</v>
      </c>
      <c r="O4" s="1" t="s">
        <v>98</v>
      </c>
      <c r="P4" s="1" t="s">
        <v>50</v>
      </c>
      <c r="Q4" s="1" t="s">
        <v>49</v>
      </c>
      <c r="R4" s="1">
        <f>LEN(Q4)-LEN(SUBSTITUTE(Q4,";",""))+1</f>
        <v>5</v>
      </c>
      <c r="S4" s="1" t="s">
        <v>10</v>
      </c>
      <c r="T4" s="1">
        <v>0</v>
      </c>
      <c r="AM4" s="2"/>
      <c r="AN4" s="3"/>
      <c r="AO4" s="3"/>
    </row>
    <row r="5" spans="1:41" x14ac:dyDescent="0.25">
      <c r="A5" s="1" t="s">
        <v>17</v>
      </c>
      <c r="B5" s="1" t="s">
        <v>13</v>
      </c>
      <c r="C5" s="1" t="s">
        <v>13</v>
      </c>
      <c r="D5" s="1" t="s">
        <v>10</v>
      </c>
      <c r="E5" s="1" t="s">
        <v>13</v>
      </c>
      <c r="F5" s="1" t="s">
        <v>13</v>
      </c>
      <c r="G5" s="1" t="s">
        <v>13</v>
      </c>
      <c r="H5" s="1" t="s">
        <v>10</v>
      </c>
      <c r="I5" s="1" t="s">
        <v>13</v>
      </c>
      <c r="J5" s="1" t="s">
        <v>13</v>
      </c>
      <c r="K5" s="1" t="s">
        <v>13</v>
      </c>
      <c r="M5" s="1" t="s">
        <v>103</v>
      </c>
      <c r="N5" s="1" t="s">
        <v>107</v>
      </c>
      <c r="O5" s="1" t="s">
        <v>106</v>
      </c>
      <c r="P5" s="1" t="s">
        <v>52</v>
      </c>
      <c r="Q5" s="1" t="s">
        <v>51</v>
      </c>
      <c r="R5" s="1">
        <f t="shared" ref="R5:R28" si="0">LEN(Q5)-LEN(SUBSTITUTE(Q5,";",""))+1</f>
        <v>8</v>
      </c>
      <c r="S5" s="1" t="s">
        <v>13</v>
      </c>
      <c r="T5" s="1">
        <v>0</v>
      </c>
      <c r="AM5" s="2"/>
      <c r="AN5" s="3"/>
      <c r="AO5" s="3"/>
    </row>
    <row r="6" spans="1:41" x14ac:dyDescent="0.25">
      <c r="A6" s="1" t="s">
        <v>111</v>
      </c>
      <c r="B6" s="1" t="s">
        <v>13</v>
      </c>
      <c r="C6" s="1" t="s">
        <v>13</v>
      </c>
      <c r="D6" s="1" t="s">
        <v>10</v>
      </c>
      <c r="E6" s="1" t="s">
        <v>13</v>
      </c>
      <c r="F6" s="1" t="s">
        <v>13</v>
      </c>
      <c r="G6" s="1" t="s">
        <v>13</v>
      </c>
      <c r="H6" s="1" t="s">
        <v>10</v>
      </c>
      <c r="I6" s="1" t="s">
        <v>13</v>
      </c>
      <c r="J6" s="1" t="s">
        <v>13</v>
      </c>
      <c r="K6" s="1" t="s">
        <v>10</v>
      </c>
      <c r="L6" s="1" t="s">
        <v>110</v>
      </c>
      <c r="N6" s="1" t="s">
        <v>112</v>
      </c>
      <c r="O6" s="1" t="s">
        <v>109</v>
      </c>
      <c r="P6" s="1" t="s">
        <v>54</v>
      </c>
      <c r="Q6" s="1" t="s">
        <v>53</v>
      </c>
      <c r="R6" s="1">
        <f t="shared" si="0"/>
        <v>5</v>
      </c>
      <c r="S6" s="1" t="s">
        <v>13</v>
      </c>
      <c r="T6" s="1">
        <v>0</v>
      </c>
      <c r="AM6" s="2"/>
      <c r="AN6" s="3"/>
      <c r="AO6" s="3"/>
    </row>
    <row r="7" spans="1:41" x14ac:dyDescent="0.25">
      <c r="A7" s="1" t="s">
        <v>18</v>
      </c>
      <c r="B7" s="1" t="s">
        <v>13</v>
      </c>
      <c r="C7" s="1" t="s">
        <v>13</v>
      </c>
      <c r="D7" s="1" t="s">
        <v>10</v>
      </c>
      <c r="E7" s="1" t="s">
        <v>10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10</v>
      </c>
      <c r="L7" s="1" t="s">
        <v>114</v>
      </c>
      <c r="N7" s="1" t="s">
        <v>115</v>
      </c>
      <c r="O7" s="1" t="s">
        <v>113</v>
      </c>
      <c r="P7" s="1" t="s">
        <v>56</v>
      </c>
      <c r="Q7" s="1" t="s">
        <v>55</v>
      </c>
      <c r="R7" s="1">
        <f t="shared" si="0"/>
        <v>4</v>
      </c>
      <c r="S7" s="1" t="s">
        <v>13</v>
      </c>
      <c r="T7" s="1">
        <v>1</v>
      </c>
      <c r="AM7" s="2"/>
      <c r="AN7" s="3"/>
      <c r="AO7" s="3"/>
    </row>
    <row r="8" spans="1:41" ht="14.25" customHeight="1" x14ac:dyDescent="0.25">
      <c r="A8" s="1" t="s">
        <v>18</v>
      </c>
      <c r="B8" s="1" t="s">
        <v>13</v>
      </c>
      <c r="C8" s="1" t="s">
        <v>13</v>
      </c>
      <c r="D8" s="1" t="s">
        <v>10</v>
      </c>
      <c r="E8" s="1" t="s">
        <v>10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N8" s="1" t="s">
        <v>115</v>
      </c>
      <c r="O8" s="1" t="s">
        <v>117</v>
      </c>
      <c r="P8" s="1" t="s">
        <v>58</v>
      </c>
      <c r="Q8" s="1" t="s">
        <v>57</v>
      </c>
      <c r="R8" s="1">
        <f t="shared" si="0"/>
        <v>2</v>
      </c>
      <c r="S8" s="1" t="s">
        <v>13</v>
      </c>
      <c r="T8" s="1">
        <v>2</v>
      </c>
      <c r="AM8" s="2"/>
      <c r="AN8" s="3"/>
      <c r="AO8" s="3"/>
    </row>
    <row r="9" spans="1:41" x14ac:dyDescent="0.25">
      <c r="O9" s="1" t="s">
        <v>118</v>
      </c>
      <c r="P9" s="1" t="s">
        <v>60</v>
      </c>
      <c r="Q9" s="1" t="s">
        <v>59</v>
      </c>
      <c r="R9" s="1">
        <f t="shared" si="0"/>
        <v>1</v>
      </c>
      <c r="S9" s="1" t="s">
        <v>13</v>
      </c>
      <c r="T9" s="1">
        <v>0</v>
      </c>
      <c r="AM9" s="2"/>
      <c r="AN9" s="3"/>
      <c r="AO9" s="3"/>
    </row>
    <row r="10" spans="1:41" x14ac:dyDescent="0.25">
      <c r="A10" s="1" t="s">
        <v>18</v>
      </c>
      <c r="B10" s="1" t="s">
        <v>13</v>
      </c>
      <c r="C10" s="1" t="s">
        <v>13</v>
      </c>
      <c r="D10" s="1" t="s">
        <v>10</v>
      </c>
      <c r="E10" s="1" t="s">
        <v>10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120</v>
      </c>
      <c r="N10" s="1" t="s">
        <v>115</v>
      </c>
      <c r="O10" s="1" t="s">
        <v>119</v>
      </c>
      <c r="P10" s="1" t="s">
        <v>62</v>
      </c>
      <c r="Q10" s="1" t="s">
        <v>61</v>
      </c>
      <c r="R10" s="1">
        <f t="shared" si="0"/>
        <v>8</v>
      </c>
      <c r="S10" s="1" t="s">
        <v>13</v>
      </c>
      <c r="T10" s="1">
        <v>0</v>
      </c>
      <c r="AM10" s="2"/>
      <c r="AN10" s="3"/>
      <c r="AO10" s="3"/>
    </row>
    <row r="11" spans="1:41" x14ac:dyDescent="0.25">
      <c r="A11" s="1" t="s">
        <v>18</v>
      </c>
      <c r="B11" s="1" t="s">
        <v>13</v>
      </c>
      <c r="C11" s="1" t="s">
        <v>13</v>
      </c>
      <c r="D11" s="1" t="s">
        <v>10</v>
      </c>
      <c r="E11" s="1" t="s">
        <v>13</v>
      </c>
      <c r="F11" s="1" t="s">
        <v>13</v>
      </c>
      <c r="G11" s="1" t="s">
        <v>13</v>
      </c>
      <c r="H11" s="1" t="s">
        <v>10</v>
      </c>
      <c r="I11" s="1" t="s">
        <v>13</v>
      </c>
      <c r="J11" s="1" t="s">
        <v>13</v>
      </c>
      <c r="K11" s="1" t="s">
        <v>13</v>
      </c>
      <c r="N11" s="1" t="s">
        <v>122</v>
      </c>
      <c r="O11" s="1" t="s">
        <v>121</v>
      </c>
      <c r="P11" s="1" t="s">
        <v>64</v>
      </c>
      <c r="Q11" s="1" t="s">
        <v>63</v>
      </c>
      <c r="R11" s="1">
        <f t="shared" si="0"/>
        <v>2</v>
      </c>
      <c r="S11" s="1" t="s">
        <v>13</v>
      </c>
      <c r="T11" s="1">
        <v>0</v>
      </c>
      <c r="AM11" s="2"/>
      <c r="AN11" s="3"/>
      <c r="AO11" s="3"/>
    </row>
    <row r="12" spans="1:41" x14ac:dyDescent="0.25">
      <c r="O12" s="1" t="s">
        <v>118</v>
      </c>
      <c r="P12" s="1" t="s">
        <v>66</v>
      </c>
      <c r="Q12" s="1" t="s">
        <v>65</v>
      </c>
      <c r="R12" s="1">
        <f t="shared" si="0"/>
        <v>2</v>
      </c>
      <c r="T12" s="1">
        <v>0</v>
      </c>
      <c r="AM12" s="2"/>
      <c r="AN12" s="3"/>
      <c r="AO12" s="3"/>
    </row>
    <row r="13" spans="1:41" x14ac:dyDescent="0.25">
      <c r="A13" s="1" t="s">
        <v>17</v>
      </c>
      <c r="B13" s="1" t="s">
        <v>13</v>
      </c>
      <c r="C13" s="1" t="s">
        <v>13</v>
      </c>
      <c r="D13" s="1" t="s">
        <v>10</v>
      </c>
      <c r="E13" s="1" t="s">
        <v>13</v>
      </c>
      <c r="F13" s="1" t="s">
        <v>13</v>
      </c>
      <c r="G13" s="1" t="s">
        <v>125</v>
      </c>
      <c r="H13" s="1" t="s">
        <v>10</v>
      </c>
      <c r="I13" s="1" t="s">
        <v>13</v>
      </c>
      <c r="J13" s="1" t="s">
        <v>13</v>
      </c>
      <c r="K13" s="1" t="s">
        <v>10</v>
      </c>
      <c r="L13" s="1" t="s">
        <v>124</v>
      </c>
      <c r="N13" s="1" t="s">
        <v>122</v>
      </c>
      <c r="O13" s="1" t="s">
        <v>123</v>
      </c>
      <c r="P13" s="1" t="s">
        <v>68</v>
      </c>
      <c r="Q13" s="1" t="s">
        <v>67</v>
      </c>
      <c r="R13" s="1">
        <f t="shared" si="0"/>
        <v>6</v>
      </c>
      <c r="S13" s="1" t="s">
        <v>13</v>
      </c>
      <c r="T13" s="1">
        <v>1</v>
      </c>
      <c r="AM13" s="2"/>
      <c r="AN13" s="3"/>
      <c r="AO13" s="3"/>
    </row>
    <row r="14" spans="1:41" x14ac:dyDescent="0.25">
      <c r="A14" s="1" t="s">
        <v>17</v>
      </c>
      <c r="B14" s="1" t="s">
        <v>127</v>
      </c>
      <c r="C14" s="1" t="s">
        <v>128</v>
      </c>
      <c r="D14" s="1" t="s">
        <v>10</v>
      </c>
      <c r="E14" s="1" t="s">
        <v>10</v>
      </c>
      <c r="F14" s="1" t="s">
        <v>130</v>
      </c>
      <c r="G14" s="1" t="s">
        <v>132</v>
      </c>
      <c r="H14" s="1" t="s">
        <v>10</v>
      </c>
      <c r="I14" s="1" t="s">
        <v>13</v>
      </c>
      <c r="J14" s="1" t="s">
        <v>13</v>
      </c>
      <c r="K14" s="1" t="s">
        <v>134</v>
      </c>
      <c r="L14" s="1" t="s">
        <v>133</v>
      </c>
      <c r="M14" s="1" t="s">
        <v>129</v>
      </c>
      <c r="N14" s="1" t="s">
        <v>131</v>
      </c>
      <c r="O14" s="1" t="s">
        <v>126</v>
      </c>
      <c r="P14" s="1" t="s">
        <v>70</v>
      </c>
      <c r="Q14" s="1" t="s">
        <v>69</v>
      </c>
      <c r="R14" s="1">
        <f t="shared" si="0"/>
        <v>6</v>
      </c>
      <c r="S14" s="1" t="s">
        <v>13</v>
      </c>
      <c r="T14" s="1">
        <v>5</v>
      </c>
      <c r="AM14" s="2"/>
      <c r="AN14" s="3"/>
      <c r="AO14" s="3"/>
    </row>
    <row r="15" spans="1:41" s="6" customFormat="1" x14ac:dyDescent="0.25">
      <c r="A15" s="6" t="s">
        <v>15</v>
      </c>
      <c r="B15" s="6" t="s">
        <v>13</v>
      </c>
      <c r="C15" s="6" t="s">
        <v>13</v>
      </c>
      <c r="D15" s="6" t="s">
        <v>10</v>
      </c>
      <c r="E15" s="6" t="s">
        <v>13</v>
      </c>
      <c r="F15" s="6" t="s">
        <v>13</v>
      </c>
      <c r="L15" s="6" t="s">
        <v>137</v>
      </c>
      <c r="O15" s="6" t="s">
        <v>135</v>
      </c>
      <c r="P15" s="6" t="s">
        <v>72</v>
      </c>
      <c r="Q15" s="6" t="s">
        <v>71</v>
      </c>
      <c r="R15" s="6">
        <f t="shared" si="0"/>
        <v>2</v>
      </c>
      <c r="S15" s="6" t="s">
        <v>10</v>
      </c>
      <c r="AM15" s="7"/>
      <c r="AN15" s="8"/>
      <c r="AO15" s="8"/>
    </row>
    <row r="16" spans="1:41" x14ac:dyDescent="0.25">
      <c r="A16" s="1" t="s">
        <v>17</v>
      </c>
      <c r="B16" s="1" t="s">
        <v>13</v>
      </c>
      <c r="C16" s="1" t="s">
        <v>13</v>
      </c>
      <c r="D16" s="1" t="s">
        <v>10</v>
      </c>
      <c r="E16" s="1" t="s">
        <v>13</v>
      </c>
      <c r="F16" s="1" t="s">
        <v>13</v>
      </c>
      <c r="G16" s="1" t="s">
        <v>13</v>
      </c>
      <c r="H16" s="1" t="s">
        <v>10</v>
      </c>
      <c r="I16" s="1" t="s">
        <v>13</v>
      </c>
      <c r="J16" s="1" t="s">
        <v>13</v>
      </c>
      <c r="K16" s="1" t="s">
        <v>134</v>
      </c>
      <c r="L16" s="1" t="s">
        <v>138</v>
      </c>
      <c r="N16" s="1" t="s">
        <v>122</v>
      </c>
      <c r="O16" s="1" t="s">
        <v>19</v>
      </c>
      <c r="P16" s="1" t="s">
        <v>74</v>
      </c>
      <c r="Q16" s="1" t="s">
        <v>73</v>
      </c>
      <c r="R16" s="1">
        <f t="shared" si="0"/>
        <v>3</v>
      </c>
      <c r="S16" s="1" t="s">
        <v>13</v>
      </c>
      <c r="T16" s="1">
        <v>0</v>
      </c>
      <c r="AM16" s="2"/>
      <c r="AN16" s="3"/>
      <c r="AO16" s="3"/>
    </row>
    <row r="17" spans="1:41" x14ac:dyDescent="0.25">
      <c r="A17" s="1" t="s">
        <v>17</v>
      </c>
      <c r="B17" s="1" t="s">
        <v>13</v>
      </c>
      <c r="C17" s="1" t="s">
        <v>13</v>
      </c>
      <c r="D17" s="1" t="s">
        <v>10</v>
      </c>
      <c r="E17" s="1" t="s">
        <v>13</v>
      </c>
      <c r="F17" s="1" t="s">
        <v>168</v>
      </c>
      <c r="G17" s="1" t="s">
        <v>139</v>
      </c>
      <c r="H17" s="1" t="s">
        <v>10</v>
      </c>
      <c r="I17" s="1" t="s">
        <v>13</v>
      </c>
      <c r="J17" s="1" t="s">
        <v>13</v>
      </c>
      <c r="K17" s="1" t="s">
        <v>10</v>
      </c>
      <c r="L17" s="1" t="s">
        <v>140</v>
      </c>
      <c r="N17" s="1" t="s">
        <v>141</v>
      </c>
      <c r="O17" s="1" t="s">
        <v>140</v>
      </c>
      <c r="P17" s="1" t="s">
        <v>76</v>
      </c>
      <c r="Q17" s="1" t="s">
        <v>75</v>
      </c>
      <c r="R17" s="1">
        <f t="shared" si="0"/>
        <v>2</v>
      </c>
      <c r="S17" s="1" t="s">
        <v>13</v>
      </c>
      <c r="T17" s="1">
        <v>1</v>
      </c>
      <c r="AM17" s="2"/>
      <c r="AN17" s="3"/>
      <c r="AO17" s="3"/>
    </row>
    <row r="18" spans="1:41" x14ac:dyDescent="0.25">
      <c r="A18" s="1" t="s">
        <v>17</v>
      </c>
      <c r="B18" s="1" t="s">
        <v>13</v>
      </c>
      <c r="C18" s="1" t="s">
        <v>13</v>
      </c>
      <c r="D18" s="1" t="s">
        <v>10</v>
      </c>
      <c r="E18" s="1" t="s">
        <v>13</v>
      </c>
      <c r="F18" s="1" t="s">
        <v>13</v>
      </c>
      <c r="G18" s="1" t="s">
        <v>144</v>
      </c>
      <c r="H18" s="1" t="s">
        <v>10</v>
      </c>
      <c r="I18" s="1" t="s">
        <v>13</v>
      </c>
      <c r="J18" s="1" t="s">
        <v>13</v>
      </c>
      <c r="K18" s="1" t="s">
        <v>13</v>
      </c>
      <c r="N18" s="1" t="s">
        <v>143</v>
      </c>
      <c r="O18" s="1" t="s">
        <v>142</v>
      </c>
      <c r="P18" s="1" t="s">
        <v>78</v>
      </c>
      <c r="Q18" s="1" t="s">
        <v>77</v>
      </c>
      <c r="R18" s="1">
        <f t="shared" si="0"/>
        <v>2</v>
      </c>
      <c r="S18" s="1" t="s">
        <v>13</v>
      </c>
      <c r="T18" s="1">
        <v>3</v>
      </c>
      <c r="AM18" s="2"/>
      <c r="AN18" s="3"/>
      <c r="AO18" s="3"/>
    </row>
    <row r="19" spans="1:41" x14ac:dyDescent="0.25">
      <c r="A19" s="1" t="s">
        <v>15</v>
      </c>
      <c r="B19" s="1" t="s">
        <v>13</v>
      </c>
      <c r="C19" s="1" t="s">
        <v>13</v>
      </c>
      <c r="D19" s="1" t="s">
        <v>10</v>
      </c>
      <c r="E19" s="1" t="s">
        <v>13</v>
      </c>
      <c r="F19" s="1" t="s">
        <v>13</v>
      </c>
      <c r="G19" s="1" t="s">
        <v>13</v>
      </c>
      <c r="H19" s="1" t="s">
        <v>10</v>
      </c>
      <c r="I19" s="1" t="s">
        <v>13</v>
      </c>
      <c r="J19" s="1" t="s">
        <v>13</v>
      </c>
      <c r="K19" s="1" t="s">
        <v>13</v>
      </c>
      <c r="M19" s="1" t="s">
        <v>145</v>
      </c>
      <c r="P19" s="1" t="s">
        <v>80</v>
      </c>
      <c r="Q19" s="1" t="s">
        <v>79</v>
      </c>
      <c r="R19" s="1">
        <f t="shared" si="0"/>
        <v>4</v>
      </c>
      <c r="S19" s="1" t="s">
        <v>10</v>
      </c>
      <c r="T19" s="1">
        <v>1</v>
      </c>
      <c r="AM19" s="2"/>
      <c r="AN19" s="3"/>
      <c r="AO19" s="3"/>
    </row>
    <row r="20" spans="1:41" x14ac:dyDescent="0.25">
      <c r="A20" s="1" t="s">
        <v>17</v>
      </c>
      <c r="B20" s="1" t="s">
        <v>13</v>
      </c>
      <c r="C20" s="1" t="s">
        <v>13</v>
      </c>
      <c r="D20" s="1" t="s">
        <v>10</v>
      </c>
      <c r="E20" s="1" t="s">
        <v>13</v>
      </c>
      <c r="F20" s="1" t="s">
        <v>13</v>
      </c>
      <c r="G20" s="1" t="s">
        <v>147</v>
      </c>
      <c r="H20" s="1" t="s">
        <v>10</v>
      </c>
      <c r="I20" s="1" t="s">
        <v>151</v>
      </c>
      <c r="J20" s="1" t="s">
        <v>150</v>
      </c>
      <c r="M20" s="1" t="s">
        <v>146</v>
      </c>
      <c r="N20" s="1" t="s">
        <v>148</v>
      </c>
      <c r="O20" s="1" t="s">
        <v>149</v>
      </c>
      <c r="P20" s="1" t="s">
        <v>82</v>
      </c>
      <c r="Q20" s="1" t="s">
        <v>81</v>
      </c>
      <c r="R20" s="1">
        <f t="shared" si="0"/>
        <v>3</v>
      </c>
      <c r="S20" s="1" t="s">
        <v>13</v>
      </c>
      <c r="T20" s="1">
        <v>1</v>
      </c>
      <c r="AM20" s="2"/>
      <c r="AN20" s="3"/>
      <c r="AO20" s="3"/>
    </row>
    <row r="21" spans="1:41" x14ac:dyDescent="0.25">
      <c r="A21" s="1" t="s">
        <v>17</v>
      </c>
      <c r="B21" s="1" t="s">
        <v>13</v>
      </c>
      <c r="C21" s="1" t="s">
        <v>13</v>
      </c>
      <c r="D21" s="1" t="s">
        <v>10</v>
      </c>
      <c r="E21" s="1" t="s">
        <v>154</v>
      </c>
      <c r="F21" s="1" t="s">
        <v>13</v>
      </c>
      <c r="G21" s="1" t="s">
        <v>13</v>
      </c>
      <c r="H21" s="1" t="s">
        <v>10</v>
      </c>
      <c r="I21" s="1" t="s">
        <v>151</v>
      </c>
      <c r="J21" s="1" t="s">
        <v>152</v>
      </c>
      <c r="K21" s="1" t="s">
        <v>154</v>
      </c>
      <c r="N21" s="1" t="s">
        <v>153</v>
      </c>
      <c r="O21" s="1" t="s">
        <v>155</v>
      </c>
      <c r="P21" s="1" t="s">
        <v>84</v>
      </c>
      <c r="Q21" s="1" t="s">
        <v>83</v>
      </c>
      <c r="R21" s="1">
        <f t="shared" si="0"/>
        <v>5</v>
      </c>
      <c r="S21" s="1" t="s">
        <v>10</v>
      </c>
      <c r="T21" s="1">
        <v>1</v>
      </c>
      <c r="AM21" s="2"/>
      <c r="AN21" s="3"/>
      <c r="AO21" s="3"/>
    </row>
    <row r="22" spans="1:41" x14ac:dyDescent="0.25">
      <c r="A22" s="1" t="s">
        <v>18</v>
      </c>
      <c r="B22" s="1" t="s">
        <v>13</v>
      </c>
      <c r="C22" s="1" t="s">
        <v>13</v>
      </c>
      <c r="D22" s="1" t="s">
        <v>10</v>
      </c>
      <c r="E22" s="1" t="s">
        <v>157</v>
      </c>
      <c r="F22" s="1" t="s">
        <v>158</v>
      </c>
      <c r="G22" s="1" t="s">
        <v>13</v>
      </c>
      <c r="H22" s="1" t="s">
        <v>13</v>
      </c>
      <c r="J22" s="1" t="s">
        <v>13</v>
      </c>
      <c r="K22" s="1" t="s">
        <v>13</v>
      </c>
      <c r="O22" s="1" t="s">
        <v>156</v>
      </c>
      <c r="P22" s="1" t="s">
        <v>86</v>
      </c>
      <c r="Q22" s="1" t="s">
        <v>85</v>
      </c>
      <c r="R22" s="1">
        <f t="shared" si="0"/>
        <v>5</v>
      </c>
      <c r="S22" s="1" t="s">
        <v>13</v>
      </c>
      <c r="T22" s="1">
        <v>1</v>
      </c>
      <c r="AM22" s="2"/>
      <c r="AN22" s="3"/>
      <c r="AO22" s="3"/>
    </row>
    <row r="23" spans="1:41" x14ac:dyDescent="0.25">
      <c r="A23" s="1" t="s">
        <v>159</v>
      </c>
      <c r="P23" s="1" t="s">
        <v>88</v>
      </c>
      <c r="Q23" s="1" t="s">
        <v>87</v>
      </c>
      <c r="R23" s="1">
        <f t="shared" si="0"/>
        <v>4</v>
      </c>
      <c r="S23" s="1" t="s">
        <v>10</v>
      </c>
      <c r="T23" s="1">
        <v>1</v>
      </c>
      <c r="AM23" s="2"/>
      <c r="AN23" s="3"/>
      <c r="AO23" s="3"/>
    </row>
    <row r="24" spans="1:41" x14ac:dyDescent="0.25">
      <c r="A24" s="1" t="s">
        <v>160</v>
      </c>
      <c r="F24" s="1" t="s">
        <v>136</v>
      </c>
      <c r="P24" s="1" t="s">
        <v>90</v>
      </c>
      <c r="Q24" s="1" t="s">
        <v>89</v>
      </c>
      <c r="R24" s="1">
        <f t="shared" si="0"/>
        <v>3</v>
      </c>
      <c r="S24" s="1" t="s">
        <v>13</v>
      </c>
      <c r="T24" s="1">
        <v>2</v>
      </c>
      <c r="AM24" s="2"/>
      <c r="AN24" s="3"/>
      <c r="AO24" s="3"/>
    </row>
    <row r="25" spans="1:41" x14ac:dyDescent="0.25">
      <c r="A25" s="1" t="s">
        <v>105</v>
      </c>
      <c r="B25" s="1" t="s">
        <v>13</v>
      </c>
      <c r="C25" s="1" t="s">
        <v>13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13</v>
      </c>
      <c r="I25" s="1" t="s">
        <v>13</v>
      </c>
      <c r="J25" s="1" t="s">
        <v>13</v>
      </c>
      <c r="K25" s="1" t="s">
        <v>13</v>
      </c>
      <c r="O25" s="1" t="s">
        <v>161</v>
      </c>
      <c r="P25" s="1" t="s">
        <v>92</v>
      </c>
      <c r="Q25" s="1" t="s">
        <v>91</v>
      </c>
      <c r="R25" s="1">
        <f t="shared" si="0"/>
        <v>4</v>
      </c>
      <c r="S25" s="1" t="s">
        <v>10</v>
      </c>
      <c r="T25" s="1">
        <v>1</v>
      </c>
      <c r="AM25" s="2"/>
      <c r="AN25" s="3"/>
      <c r="AO25" s="3"/>
    </row>
    <row r="26" spans="1:41" x14ac:dyDescent="0.25">
      <c r="A26" s="1" t="s">
        <v>163</v>
      </c>
      <c r="P26" s="1" t="s">
        <v>94</v>
      </c>
      <c r="Q26" s="1" t="s">
        <v>93</v>
      </c>
      <c r="R26" s="1">
        <f t="shared" si="0"/>
        <v>5</v>
      </c>
      <c r="S26" s="1" t="s">
        <v>13</v>
      </c>
      <c r="T26" s="1">
        <v>1</v>
      </c>
      <c r="AM26" s="2"/>
      <c r="AN26" s="3"/>
      <c r="AO26" s="3"/>
    </row>
    <row r="27" spans="1:41" x14ac:dyDescent="0.25">
      <c r="A27" s="1" t="s">
        <v>165</v>
      </c>
      <c r="M27" s="1" t="s">
        <v>164</v>
      </c>
      <c r="P27" s="1" t="s">
        <v>95</v>
      </c>
      <c r="Q27" s="1" t="s">
        <v>77</v>
      </c>
      <c r="R27" s="1">
        <f t="shared" si="0"/>
        <v>2</v>
      </c>
      <c r="S27" s="1" t="s">
        <v>13</v>
      </c>
      <c r="T27" s="1">
        <v>12</v>
      </c>
      <c r="AM27" s="2"/>
      <c r="AN27" s="3"/>
      <c r="AO27" s="3"/>
    </row>
    <row r="28" spans="1:41" x14ac:dyDescent="0.25">
      <c r="A28" s="1" t="s">
        <v>18</v>
      </c>
      <c r="B28" s="1" t="s">
        <v>13</v>
      </c>
      <c r="C28" s="1" t="s">
        <v>13</v>
      </c>
      <c r="D28" s="1" t="s">
        <v>169</v>
      </c>
      <c r="E28" s="1" t="s">
        <v>10</v>
      </c>
      <c r="F28" s="1" t="s">
        <v>167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O28" s="1" t="s">
        <v>166</v>
      </c>
      <c r="P28" s="1" t="s">
        <v>97</v>
      </c>
      <c r="Q28" s="1" t="s">
        <v>96</v>
      </c>
      <c r="R28" s="1">
        <f t="shared" si="0"/>
        <v>2</v>
      </c>
      <c r="S28" s="1" t="s">
        <v>13</v>
      </c>
      <c r="T28" s="1">
        <v>1</v>
      </c>
      <c r="AM28" s="2"/>
      <c r="AN28" s="3"/>
      <c r="AO28" s="3"/>
    </row>
    <row r="36" spans="19:19" x14ac:dyDescent="0.25">
      <c r="S36" s="2"/>
    </row>
  </sheetData>
  <sortState ref="O2:Q26">
    <sortCondition ref="P2:P26"/>
  </sortState>
  <conditionalFormatting sqref="R4:R28 S16:S17 S19 S21">
    <cfRule type="containsText" dxfId="0" priority="1" operator="containsText" text="empirical study">
      <formula>NOT(ISERROR(SEARCH("empirical study",R4)))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7"/>
  <sheetViews>
    <sheetView workbookViewId="0">
      <selection activeCell="A30" sqref="A30"/>
    </sheetView>
  </sheetViews>
  <sheetFormatPr baseColWidth="10" defaultRowHeight="15" x14ac:dyDescent="0.25"/>
  <cols>
    <col min="1" max="1" width="255.7109375" bestFit="1" customWidth="1"/>
  </cols>
  <sheetData>
    <row r="3" spans="1:1" x14ac:dyDescent="0.25">
      <c r="A3" s="5" t="s">
        <v>24</v>
      </c>
    </row>
    <row r="4" spans="1:1" x14ac:dyDescent="0.25">
      <c r="A4" s="5" t="s">
        <v>25</v>
      </c>
    </row>
    <row r="5" spans="1:1" x14ac:dyDescent="0.25">
      <c r="A5" s="5" t="s">
        <v>26</v>
      </c>
    </row>
    <row r="6" spans="1:1" x14ac:dyDescent="0.25">
      <c r="A6" s="5" t="s">
        <v>27</v>
      </c>
    </row>
    <row r="7" spans="1:1" x14ac:dyDescent="0.25">
      <c r="A7" s="5" t="s">
        <v>28</v>
      </c>
    </row>
    <row r="8" spans="1:1" x14ac:dyDescent="0.25">
      <c r="A8" s="5" t="s">
        <v>29</v>
      </c>
    </row>
    <row r="9" spans="1:1" x14ac:dyDescent="0.25">
      <c r="A9" s="5" t="s">
        <v>30</v>
      </c>
    </row>
    <row r="10" spans="1:1" x14ac:dyDescent="0.25">
      <c r="A10" s="5" t="s">
        <v>31</v>
      </c>
    </row>
    <row r="11" spans="1:1" x14ac:dyDescent="0.25">
      <c r="A11" s="5" t="s">
        <v>32</v>
      </c>
    </row>
    <row r="12" spans="1:1" x14ac:dyDescent="0.25">
      <c r="A12" s="5" t="s">
        <v>33</v>
      </c>
    </row>
    <row r="13" spans="1:1" x14ac:dyDescent="0.25">
      <c r="A13" s="5" t="s">
        <v>34</v>
      </c>
    </row>
    <row r="14" spans="1:1" x14ac:dyDescent="0.25">
      <c r="A14" s="5" t="s">
        <v>35</v>
      </c>
    </row>
    <row r="15" spans="1:1" x14ac:dyDescent="0.25">
      <c r="A15" s="5" t="s">
        <v>36</v>
      </c>
    </row>
    <row r="16" spans="1:1" x14ac:dyDescent="0.25">
      <c r="A16" s="5" t="s">
        <v>37</v>
      </c>
    </row>
    <row r="17" spans="1:1" x14ac:dyDescent="0.25">
      <c r="A17" s="5" t="s">
        <v>38</v>
      </c>
    </row>
    <row r="18" spans="1:1" x14ac:dyDescent="0.25">
      <c r="A18" s="5" t="s">
        <v>39</v>
      </c>
    </row>
    <row r="19" spans="1:1" x14ac:dyDescent="0.25">
      <c r="A19" s="5" t="s">
        <v>40</v>
      </c>
    </row>
    <row r="20" spans="1:1" x14ac:dyDescent="0.25">
      <c r="A20" s="5" t="s">
        <v>41</v>
      </c>
    </row>
    <row r="21" spans="1:1" x14ac:dyDescent="0.25">
      <c r="A21" s="5" t="s">
        <v>42</v>
      </c>
    </row>
    <row r="22" spans="1:1" x14ac:dyDescent="0.25">
      <c r="A22" s="5" t="s">
        <v>43</v>
      </c>
    </row>
    <row r="23" spans="1:1" x14ac:dyDescent="0.25">
      <c r="A23" s="5" t="s">
        <v>44</v>
      </c>
    </row>
    <row r="24" spans="1:1" x14ac:dyDescent="0.25">
      <c r="A24" s="5" t="s">
        <v>45</v>
      </c>
    </row>
    <row r="25" spans="1:1" x14ac:dyDescent="0.25">
      <c r="A25" s="5" t="s">
        <v>46</v>
      </c>
    </row>
    <row r="26" spans="1:1" x14ac:dyDescent="0.25">
      <c r="A26" s="5" t="s">
        <v>47</v>
      </c>
    </row>
    <row r="27" spans="1:1" x14ac:dyDescent="0.25">
      <c r="A27" s="5" t="s">
        <v>48</v>
      </c>
    </row>
  </sheetData>
  <hyperlinks>
    <hyperlink ref="A3" r:id="rId1" display="https://doi.org/10.1109/ISSE49799.2020.9272246"/>
    <hyperlink ref="A4" r:id="rId2" display="https://doi.org/10.1109/ISSE49799.2020.9272222"/>
    <hyperlink ref="A5" r:id="rId3" display="https://doi.org/10.1109/ISSE49799.2020.9272216"/>
    <hyperlink ref="A6" r:id="rId4" display="https://doi.org/10.1109/ISSE49799.2020.9272236"/>
    <hyperlink ref="A7" r:id="rId5" display="https://doi.org/10.1109/ISSE49799.2020.9272234"/>
    <hyperlink ref="A8" r:id="rId6" display="https://doi.org/10.1109/ISSE49799.2020.9272226"/>
    <hyperlink ref="A9" r:id="rId7" display="https://doi.org/10.1109/ISSE49799.2020.9272237"/>
    <hyperlink ref="A10" r:id="rId8" display="https://doi.org/10.1109/ISSE49799.2020.9272230"/>
    <hyperlink ref="A11" r:id="rId9" display="https://doi.org/10.1109/ISSE49799.2020.9272024"/>
    <hyperlink ref="A12" r:id="rId10" display="https://doi.org/10.1109/ISSE49799.2020.9272242"/>
    <hyperlink ref="A13" r:id="rId11" display="https://doi.org/10.1109/ISSE49799.2020.9272025"/>
    <hyperlink ref="A14" r:id="rId12" display="https://doi.org/10.1109/ISSE49799.2020.9272027"/>
    <hyperlink ref="A15" r:id="rId13" display="https://doi.org/10.1109/ISSE49799.2020.9272225"/>
    <hyperlink ref="A16" r:id="rId14" display="https://doi.org/10.1109/ISSE49799.2020.9272218"/>
    <hyperlink ref="A17" r:id="rId15" display="https://doi.org/10.1109/ISSE49799.2020.9272013"/>
    <hyperlink ref="A18" r:id="rId16" display="https://doi.org/10.1109/ISSE49799.2020.9272219"/>
    <hyperlink ref="A19" r:id="rId17" display="https://doi.org/10.1109/ISSE49799.2020.9272221"/>
    <hyperlink ref="A20" r:id="rId18" display="https://doi.org/10.1109/ISSE49799.2020.9272211"/>
    <hyperlink ref="A21" r:id="rId19" display="https://doi.org/10.1109/ISSE49799.2020.9272208"/>
    <hyperlink ref="A22" r:id="rId20" display="https://doi.org/10.1109/ISSE49799.2020.9272212"/>
    <hyperlink ref="A23" r:id="rId21" display="https://doi.org/10.1109/ISSE49799.2020.9272223"/>
    <hyperlink ref="A24" r:id="rId22" display="https://doi.org/10.1109/ISSE49799.2020.9272019"/>
    <hyperlink ref="A25" r:id="rId23" display="https://doi.org/10.1109/ISSE49799.2020.9272241"/>
    <hyperlink ref="A26" r:id="rId24" display="https://doi.org/10.1109/ISSE49799.2020.9272215"/>
    <hyperlink ref="A27" r:id="rId25" display="https://doi.org/10.1109/ISSE49799.2020.9272239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isse_results</vt:lpstr>
      <vt:lpstr>isse_bibliography</vt:lpstr>
      <vt:lpstr>isse_results!ICRA2020mostcited</vt:lpstr>
    </vt:vector>
  </TitlesOfParts>
  <Company>Hochschule für angewandte Wissenschaften Kempten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Irene, Prof. Dr.</dc:creator>
  <cp:lastModifiedBy>Weber, Irene, Prof. Dr.</cp:lastModifiedBy>
  <dcterms:created xsi:type="dcterms:W3CDTF">2022-06-11T08:59:39Z</dcterms:created>
  <dcterms:modified xsi:type="dcterms:W3CDTF">2022-06-13T13:27:00Z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8d3df937-3aca-43f7-9af8-23990a9169e2</vt:lpwstr>
  </property>
</Properties>
</file>