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eberiri\Projects\2022_HICCS\"/>
    </mc:Choice>
  </mc:AlternateContent>
  <bookViews>
    <workbookView xWindow="0" yWindow="0" windowWidth="28800" windowHeight="12300"/>
  </bookViews>
  <sheets>
    <sheet name="icra_results" sheetId="2" r:id="rId1"/>
    <sheet name="icra_bibliography" sheetId="3" r:id="rId2"/>
  </sheets>
  <definedNames>
    <definedName name="ICRA2020mostcited" localSheetId="0">icra_results!$N$3:$DI$28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2" i="2" l="1"/>
  <c r="S31" i="2"/>
  <c r="S30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5" i="2"/>
  <c r="Q4" i="2"/>
</calcChain>
</file>

<file path=xl/connections.xml><?xml version="1.0" encoding="utf-8"?>
<connections xmlns="http://schemas.openxmlformats.org/spreadsheetml/2006/main">
  <connection id="1" name="ICRA2020mostcited1" type="6" refreshedVersion="6" background="1" saveData="1">
    <textPr codePage="65001" sourceFile="C:\Users\weberiri\Projects\2022_HICCS\ICRA2020mostcited.csv" decimal="," thousands="." comma="1">
      <textFields count="8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<sst xmlns="http://schemas.openxmlformats.org/spreadsheetml/2006/main" count="434" uniqueCount="171">
  <si>
    <t>Author</t>
  </si>
  <si>
    <t>Title</t>
  </si>
  <si>
    <t>A. Rosinol; M. Abate; Y. Chang; L. Carlone</t>
  </si>
  <si>
    <t>Kimera: an Open-Source Library for Real-Time Metric-Semantic Localization and Mapping</t>
  </si>
  <si>
    <t>2020 IEEE International Conference on Robotics and Automation (ICRA)</t>
  </si>
  <si>
    <t>D. Barnes; M. Gadd; P. Murcutt; P. Newman; I. Posner</t>
  </si>
  <si>
    <t>The Oxford Radar RobotCar Dataset: A Radar Extension to the Oxford RobotCar Dataset</t>
  </si>
  <si>
    <t>P. Geneva; K. Eckenhoff; W. Lee; Y. Yang; G. Huang</t>
  </si>
  <si>
    <t>OpenVINS: A Research Platform for Visual-Inertial Estimation</t>
  </si>
  <si>
    <t>A. Murali; A. Mousavian; C. Eppner; C. Paxton; D. Fox</t>
  </si>
  <si>
    <t>6-DOF Grasping for Target-driven Object Manipulation in Clutter</t>
  </si>
  <si>
    <t>C. Mastalli; R. Budhiraja; W. Merkt; G. Saurel; B. Hammoud; M. Naveau; J. Carpentier; L. Righetti; S. Vijayakumar; N. Mansard</t>
  </si>
  <si>
    <t>Crocoddyl: An Efficient and Versatile Framework for Multi-Contact Optimal Control</t>
  </si>
  <si>
    <t>J. Lin; F. Zhang</t>
  </si>
  <si>
    <t>Loam livox: A fast, robust, high-precision LiDAR odometry and mapping package for LiDARs of small FoV</t>
  </si>
  <si>
    <t>K. Ebadi; Y. Chang; M. Palieri; A. Stephens; A. Hatteland; E. Heiden; A. Thakur; N. Funabiki; B. Morrell; S. Wood; L. Carlone; A. -a. Agha-mohammadi</t>
  </si>
  <si>
    <t>LAMP: Large-Scale Autonomous Mapping and Positioning for Exploration of Perceptually-Degraded Subterranean Environments</t>
  </si>
  <si>
    <t>S. Casas; C. Gulino; R. Liao; R. Urtasun</t>
  </si>
  <si>
    <t>SpAGNN: Spatially-Aware Graph Neural Networks for Relational Behavior Forecasting from Sensor Data</t>
  </si>
  <si>
    <t>C. Qin; H. Ye; C. E. Pranata; J. Han; S. Zhang; M. Liu</t>
  </si>
  <si>
    <t>LINS: A Lidar-Inertial State Estimator for Robust and Efficient Navigation</t>
  </si>
  <si>
    <t>G. Kim; Y. S. Park; Y. Cho; J. Jeong; A. Kim</t>
  </si>
  <si>
    <t>MulRan: Multimodal Range Dataset for Urban Place Recognition</t>
  </si>
  <si>
    <t>H. Wang; C. Wang; L. Xie</t>
  </si>
  <si>
    <t>Intensity Scan Context: Coding Intensity and Geometry Relations for Loop Closure Detection</t>
  </si>
  <si>
    <t>X. Deng; Y. Xiang; A. Mousavian; C. Eppner; T. Bretl; D. Fox</t>
  </si>
  <si>
    <t>Self-supervised 6D Object Pose Estimation for Robot Manipulation</t>
  </si>
  <si>
    <t>C. Wang; R. Martín-Martín; D. Xu; J. Lv; C. Lu; L. Fei-Fei; S. Savarese; Y. Zhu</t>
  </si>
  <si>
    <t>6-PACK: Category-level 6D Pose Tracker with Anchor-Based Keypoints</t>
  </si>
  <si>
    <t>C. Gan; Y. Zhang; J. Wu; B. Gong; J. B. Tenenbaum</t>
  </si>
  <si>
    <t>Look, Listen, and Act: Towards Audio-Visual Embodied Navigation</t>
  </si>
  <si>
    <t>P. Ni; W. Zhang; X. Zhu; Q. Cao</t>
  </si>
  <si>
    <t>PointNet++ Grasping: Learning An End-to-end Spatial Grasp Generation Algorithm from Sparse Point Clouds</t>
  </si>
  <si>
    <t>B. Abbyasov; R. Lavrenov; A. Zakiev; K. Yakovlev; M. Svinin; E. Magid</t>
  </si>
  <si>
    <t>Automatic tool for Gazebo world construction: from a grayscale image to a 3D solid model</t>
  </si>
  <si>
    <t>K. Zakka; A. Zeng; J. Lee; S. Song</t>
  </si>
  <si>
    <t>Form2Fit: Learning Shape Priors for Generalizable Assembly from Disassembly</t>
  </si>
  <si>
    <t>Q. Wang; S. Shi; S. Zheng; K. Zhao; X. Chu</t>
  </si>
  <si>
    <t>FADNet: A Fast and Accurate Network for Disparity Estimation</t>
  </si>
  <si>
    <t>F. Engelmann; T. Kontogianni; B. Leibe</t>
  </si>
  <si>
    <t>Dilated Point Convolutions: On the Receptive Field Size of Point Convolutions on 3D Point Clouds</t>
  </si>
  <si>
    <t>D. Kim; D. Carballo; J. Di Carlo; B. Katz; G. Bledt; B. Lim; S. Kim</t>
  </si>
  <si>
    <t>Vision Aided Dynamic Exploration of Unstructured Terrain with a Small-Scale Quadruped Robot</t>
  </si>
  <si>
    <t>S. Sajjan; M. Moore; M. Pan; G. Nagaraja; J. Lee; A. Zeng; S. Song</t>
  </si>
  <si>
    <t>Clear Grasp: 3D Shape Estimation of Transparent Objects for Manipulation</t>
  </si>
  <si>
    <t>A. K. Bozkurt; Y. Wang; M. M. Zavlanos; M. Pajic</t>
  </si>
  <si>
    <t>Control Synthesis from Linear Temporal Logic Specifications using Model-Free Reinforcement Learning</t>
  </si>
  <si>
    <t>H. Xu; L. Wang; Y. Zhang; K. Qiu; S. Shen</t>
  </si>
  <si>
    <t>Decentralized Visual-Inertial-UWB Fusion for Relative State Estimation of Aerial Swarm</t>
  </si>
  <si>
    <t>S. Choudhury; K. Solovey; M. J. Kochenderfer; M. Pavone</t>
  </si>
  <si>
    <t>Efficient Large-Scale Multi-Drone Delivery Using Transit Networks</t>
  </si>
  <si>
    <t>M. Dharmadhikari; T. Dang; L. Solanka; J. Loje; H. Nguyen; N. Khedekar; K. Alexis</t>
  </si>
  <si>
    <t>Motion Primitives-based Path Planning for Fast and Agile Exploration using Aerial Robots</t>
  </si>
  <si>
    <t>artifact</t>
  </si>
  <si>
    <t>a method that plans 6-DOF grasps</t>
  </si>
  <si>
    <t>Description</t>
  </si>
  <si>
    <t>Demo</t>
  </si>
  <si>
    <t>DevAsSearch</t>
  </si>
  <si>
    <t>Eval</t>
  </si>
  <si>
    <t>ScientEval</t>
  </si>
  <si>
    <t>RQs</t>
  </si>
  <si>
    <t>Kcontr</t>
  </si>
  <si>
    <t>yes</t>
  </si>
  <si>
    <t xml:space="preserve">yes </t>
  </si>
  <si>
    <t>Eval meth</t>
  </si>
  <si>
    <t>exp + real world</t>
  </si>
  <si>
    <t>pictures</t>
  </si>
  <si>
    <t>limitations</t>
  </si>
  <si>
    <t>pictures, in eval</t>
  </si>
  <si>
    <t>Devprocess</t>
  </si>
  <si>
    <t>no</t>
  </si>
  <si>
    <t>deep learning approach</t>
  </si>
  <si>
    <t>design choices mentioned</t>
  </si>
  <si>
    <t>new tool that automatically constructs  landscapes</t>
  </si>
  <si>
    <t>type of Cont</t>
  </si>
  <si>
    <t>ClearGrasp – a deep learning approach, + we show that it is possible use high-quality rendered synthetic images with domain randomization as training data + studies show the importance of critical design decisions</t>
  </si>
  <si>
    <t>artifact + theoretical contr</t>
  </si>
  <si>
    <t>Desc</t>
  </si>
  <si>
    <t>yes, sectiontitle is Method</t>
  </si>
  <si>
    <t>Eval Valid</t>
  </si>
  <si>
    <t>reinforcement learning (RL) framework</t>
  </si>
  <si>
    <t>case studies</t>
  </si>
  <si>
    <t>theory + artifact</t>
  </si>
  <si>
    <t>Desc-Eval</t>
  </si>
  <si>
    <t>open-source framework -+ algorithm</t>
  </si>
  <si>
    <t>artifact+theory</t>
  </si>
  <si>
    <t>experiments</t>
  </si>
  <si>
    <t>fully decentralized visual-inertial-UWB fusion framework</t>
  </si>
  <si>
    <t>Desc-Demo</t>
  </si>
  <si>
    <t xml:space="preserve">empirical study </t>
  </si>
  <si>
    <t>algorithmic framework</t>
  </si>
  <si>
    <t>emphasis on emprical study</t>
  </si>
  <si>
    <t>framework-algorithm</t>
  </si>
  <si>
    <t>yes, sectiontitle is Methodology</t>
  </si>
  <si>
    <t>simulation</t>
  </si>
  <si>
    <t>deep network for disparity estimation</t>
  </si>
  <si>
    <t>artifact+method</t>
  </si>
  <si>
    <t>problem formulation +  real-world system</t>
  </si>
  <si>
    <t>theory-related RQ</t>
  </si>
  <si>
    <t>theory</t>
  </si>
  <si>
    <t>experiments on a real platform</t>
  </si>
  <si>
    <t>open-source C++ library</t>
  </si>
  <si>
    <t xml:space="preserve">artifact+theory </t>
  </si>
  <si>
    <t>novel global descriptor + strategy</t>
  </si>
  <si>
    <t>system architecture</t>
  </si>
  <si>
    <t>artifact+evaluation+discussion</t>
  </si>
  <si>
    <t xml:space="preserve">artifact+algorithm </t>
  </si>
  <si>
    <t>yes, pictures in eval</t>
  </si>
  <si>
    <t>estimator</t>
  </si>
  <si>
    <t>yes, as future work</t>
  </si>
  <si>
    <t>artifact+improvement of algorithm</t>
  </si>
  <si>
    <t>environment+benchmark-framework</t>
  </si>
  <si>
    <t>experiment</t>
  </si>
  <si>
    <t>experiments + field tests</t>
  </si>
  <si>
    <t>multimodal range dataset+theory</t>
  </si>
  <si>
    <t>pictures, in description</t>
  </si>
  <si>
    <t>a remark on  generalizability</t>
  </si>
  <si>
    <t>open platform (code base)</t>
  </si>
  <si>
    <t>simulation+real-world datasets</t>
  </si>
  <si>
    <t>multi-object grasp detection algorithm+network</t>
  </si>
  <si>
    <t>simulation+experiment</t>
  </si>
  <si>
    <t>object pose estimation system</t>
  </si>
  <si>
    <t>no ( i consider the improvement by "finetuning" as a part of the method )</t>
  </si>
  <si>
    <t>system+method+theory (use self-collected images)</t>
  </si>
  <si>
    <t>video; pictures in eval</t>
  </si>
  <si>
    <t>spatially-aware graph neural network (SPAGNN</t>
  </si>
  <si>
    <t>experiments with real-world data</t>
  </si>
  <si>
    <t>yes, ablation study</t>
  </si>
  <si>
    <t>yes (we first discuss our input parametrization)</t>
  </si>
  <si>
    <t>Dataset</t>
  </si>
  <si>
    <t>method</t>
  </si>
  <si>
    <t>system+evaluation</t>
  </si>
  <si>
    <t>yes, as future work (Another important update is the hardware platform embedding of the vision system)</t>
  </si>
  <si>
    <t>experimental environment</t>
  </si>
  <si>
    <t>Author count</t>
  </si>
  <si>
    <t>Industry involved</t>
  </si>
  <si>
    <t>Schema</t>
  </si>
  <si>
    <t>experimental + real world</t>
  </si>
  <si>
    <t>algorithm +  software package</t>
  </si>
  <si>
    <t>new method path Planner</t>
  </si>
  <si>
    <t>Comments</t>
  </si>
  <si>
    <t>experiments in real-world environment</t>
  </si>
  <si>
    <t>indoor and outdoor experiments in real-world environments</t>
  </si>
  <si>
    <t>yes (verify generalizability and stability, experiments were carried out in four outdoor application scenarios:)</t>
  </si>
  <si>
    <t>short comparison with other approaches mentioned</t>
  </si>
  <si>
    <t>https://ieeexplore.ieee.org/xpl/conhome/9187508/proceeding?isnumber=9196508&amp;sortType=paper-citations</t>
  </si>
  <si>
    <t>A. K. Bozkurt, Y. Wang, M. M. Zavlanos, &amp; M. Pajic. (2020). Control Synthesis from Linear Temporal Logic Specifications using Model-Free Reinforcement Learning. 2020 IEEE International Conference on Robotics and Automation (ICRA), 10349–10355. https://doi.org/10.1109/ICRA40945.2020.9196796</t>
  </si>
  <si>
    <t>A. Murali, A. Mousavian, C. Eppner, C. Paxton, &amp; D. Fox. (2020). 6-DOF Grasping for Target-driven Object Manipulation in Clutter. 2020 IEEE International Conference on Robotics and Automation (ICRA), 6232–6238. https://doi.org/10.1109/ICRA40945.2020.9197318</t>
  </si>
  <si>
    <t>A. Rosinol, M. Abate, Y. Chang, &amp; L. Carlone. (2020). Kimera: An Open-Source Library for Real-Time Metric-Semantic Localization and Mapping. 2020 IEEE International Conference on Robotics and Automation (ICRA), 1689–1696. https://doi.org/10.1109/ICRA40945.2020.9196885</t>
  </si>
  <si>
    <t>B. Abbyasov, R. Lavrenov, A. Zakiev, K. Yakovlev, M. Svinin, &amp; E. Magid. (2020). Automatic tool for Gazebo world construction: From a grayscale image to a 3D solid model. 2020 IEEE International Conference on Robotics and Automation (ICRA), 7226–7232. https://doi.org/10.1109/ICRA40945.2020.9196621</t>
  </si>
  <si>
    <t>C. Gan, Y. Zhang, J. Wu, B. Gong, &amp; J. B. Tenenbaum. (2020). Look, Listen, and Act: Towards Audio-Visual Embodied Navigation. 2020 IEEE International Conference on Robotics and Automation (ICRA), 9701–9707. https://doi.org/10.1109/ICRA40945.2020.9197008</t>
  </si>
  <si>
    <t>C. Mastalli, R. Budhiraja, W. Merkt, G. Saurel, B. Hammoud, M. Naveau, J. Carpentier, L. Righetti, S. Vijayakumar, &amp; N. Mansard. (2020). Crocoddyl: An Efficient and Versatile Framework for Multi-Contact Optimal Control. 2020 IEEE International Conference on Robotics and Automation (ICRA), 2536–2542. https://doi.org/10.1109/ICRA40945.2020.9196673</t>
  </si>
  <si>
    <t>C. Qin, H. Ye, C. E. Pranata, J. Han, S. Zhang, &amp; M. Liu. (2020). LINS: A Lidar-Inertial State Estimator for Robust and Efficient Navigation. 2020 IEEE International Conference on Robotics and Automation (ICRA), 8899–8906. https://doi.org/10.1109/ICRA40945.2020.9197567</t>
  </si>
  <si>
    <t>C. Wang, R. Martín-Martín, D. Xu, J. Lv, C. Lu, L. Fei-Fei, S. Savarese, &amp; Y. Zhu. (2020). 6-PACK: Category-level 6D Pose Tracker with Anchor-Based Keypoints. 2020 IEEE International Conference on Robotics and Automation (ICRA), 10059–10066. https://doi.org/10.1109/ICRA40945.2020.9196679</t>
  </si>
  <si>
    <t>D. Barnes, M. Gadd, P. Murcutt, P. Newman, &amp; I. Posner. (2020). The Oxford Radar RobotCar Dataset: A Radar Extension to the Oxford RobotCar Dataset. 2020 IEEE International Conference on Robotics and Automation (ICRA), 6433–6438. https://doi.org/10.1109/ICRA40945.2020.9196884</t>
  </si>
  <si>
    <t>D. Kim, D. Carballo, J. Di Carlo, B. Katz, G. Bledt, B. Lim, &amp; S. Kim. (2020). Vision Aided Dynamic Exploration of Unstructured Terrain with a Small-Scale Quadruped Robot. 2020 IEEE International Conference on Robotics and Automation (ICRA), 2464–2470. https://doi.org/10.1109/ICRA40945.2020.9196777</t>
  </si>
  <si>
    <t>F. Engelmann, T. Kontogianni, &amp; B. Leibe. (2020). Dilated Point Convolutions: On the Receptive Field Size of Point Convolutions on 3D Point Clouds. 2020 IEEE International Conference on Robotics and Automation (ICRA), 9463–9469. https://doi.org/10.1109/ICRA40945.2020.9197503</t>
  </si>
  <si>
    <t>G. Kim, Y. S. Park, Y. Cho, J. Jeong, &amp; A. Kim. (2020). MulRan: Multimodal Range Dataset for Urban Place Recognition. 2020 IEEE International Conference on Robotics and Automation (ICRA), 6246–6253. https://doi.org/10.1109/ICRA40945.2020.9197298</t>
  </si>
  <si>
    <t>H. Wang, C. Wang, &amp; L. Xie. (2020). Intensity Scan Context: Coding Intensity and Geometry Relations for Loop Closure Detection. 2020 IEEE International Conference on Robotics and Automation (ICRA), 2095–2101. https://doi.org/10.1109/ICRA40945.2020.9196764</t>
  </si>
  <si>
    <t>H. Xu, L. Wang, Y. Zhang, K. Qiu, &amp; S. Shen. (2020). Decentralized Visual-Inertial-UWB Fusion for Relative State Estimation of Aerial Swarm. 2020 IEEE International Conference on Robotics and Automation (ICRA), 8776–8782. https://doi.org/10.1109/ICRA40945.2020.9196944</t>
  </si>
  <si>
    <t>J. Lin &amp; F. Zhang. (2020). Loam livox: A fast, robust, high-precision LiDAR odometry and mapping package for LiDARs of small FoV. 2020 IEEE International Conference on Robotics and Automation (ICRA), 3126–3131. https://doi.org/10.1109/ICRA40945.2020.9197440</t>
  </si>
  <si>
    <t>K. Ebadi, Y. Chang, M. Palieri, A. Stephens, A. Hatteland, E. Heiden, A. Thakur, N. Funabiki, B. Morrell, S. Wood, L. Carlone, &amp; A. -a. Agha-mohammadi. (2020). LAMP: Large-Scale Autonomous Mapping and Positioning for Exploration of Perceptually-Degraded Subterranean Environments. 2020 IEEE International Conference on Robotics and Automation (ICRA), 80–86. https://doi.org/10.1109/ICRA40945.2020.9197082</t>
  </si>
  <si>
    <t>K. Zakka, A. Zeng, J. Lee, &amp; S. Song. (2020). Form2Fit: Learning Shape Priors for Generalizable Assembly from Disassembly. 2020 IEEE International Conference on Robotics and Automation (ICRA), 9404–9410. https://doi.org/10.1109/ICRA40945.2020.9196733</t>
  </si>
  <si>
    <t>M. Dharmadhikari, T. Dang, L. Solanka, J. Loje, H. Nguyen, N. Khedekar, &amp; K. Alexis. (2020). Motion Primitives-based Path Planning for Fast and Agile Exploration using Aerial Robots. 2020 IEEE International Conference on Robotics and Automation (ICRA), 179–185. https://doi.org/10.1109/ICRA40945.2020.9196964</t>
  </si>
  <si>
    <t>P. Geneva, K. Eckenhoff, W. Lee, Y. Yang, &amp; G. Huang. (2020). OpenVINS: A Research Platform for Visual-Inertial Estimation. 2020 IEEE International Conference on Robotics and Automation (ICRA), 4666–4672. https://doi.org/10.1109/ICRA40945.2020.9196524</t>
  </si>
  <si>
    <t>P. Ni, W. Zhang, X. Zhu, &amp; Q. Cao. (2020). PointNet++ Grasping: Learning An End-to-end Spatial Grasp Generation Algorithm from Sparse Point Clouds. 2020 IEEE International Conference on Robotics and Automation (ICRA), 3619–3625. https://doi.org/10.1109/ICRA40945.2020.9196740</t>
  </si>
  <si>
    <t>Q. Wang, S. Shi, S. Zheng, K. Zhao, &amp; X. Chu. (2020). FADNet: A Fast and Accurate Network for Disparity Estimation. 2020 IEEE International Conference on Robotics and Automation (ICRA), 101–107. https://doi.org/10.1109/ICRA40945.2020.9197031</t>
  </si>
  <si>
    <t>S. Casas, C. Gulino, R. Liao, &amp; R. Urtasun. (2020). SpAGNN: Spatially-Aware Graph Neural Networks for Relational Behavior Forecasting from Sensor Data. 2020 IEEE International Conference on Robotics and Automation (ICRA), 9491–9497. https://doi.org/10.1109/ICRA40945.2020.9196697</t>
  </si>
  <si>
    <t>S. Choudhury, K. Solovey, M. J. Kochenderfer, &amp; M. Pavone. (2020). Efficient Large-Scale Multi-Drone Delivery Using Transit Networks. 2020 IEEE International Conference on Robotics and Automation (ICRA), 4543–4550. https://doi.org/10.1109/ICRA40945.2020.9197313</t>
  </si>
  <si>
    <t>S. Sajjan, M. Moore, M. Pan, G. Nagaraja, J. Lee, A. Zeng, &amp; S. Song. (2020). Clear Grasp: 3D Shape Estimation of Transparent Objects for Manipulation. 2020 IEEE International Conference on Robotics and Automation (ICRA), 3634–3642. https://doi.org/10.1109/ICRA40945.2020.9197518</t>
  </si>
  <si>
    <t>X. Deng, Y. Xiang, A. Mousavian, C. Eppner, T. Bretl, &amp; D. Fox. (2020). Self-supervised 6D Object Pose Estimation for Robot Manipulation. 2020 IEEE International Conference on Robotics and Automation (ICRA), 3665–3671. https://doi.org/10.1109/ICRA40945.2020.9196714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</si>
</sst>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0" borderId="0" xfId="0" applyFill="1"/>
    <xf numFmtId="14" fontId="0" fillId="0" borderId="0" xfId="0" applyNumberFormat="1" applyFill="1"/>
    <xf numFmtId="22" fontId="0" fillId="0" borderId="0" xfId="0" applyNumberFormat="1" applyFill="1"/>
    <xf numFmtId="0" fontId="1" fillId="0" borderId="1" xfId="1" applyFill="1"/>
    <xf numFmtId="0" fontId="2" fillId="0" borderId="0" xfId="2" applyAlignment="1">
      <alignment horizontal="left" vertical="center" indent="2"/>
    </xf>
  </cellXfs>
  <cellStyles count="3">
    <cellStyle name="Link" xfId="2" builtinId="8"/>
    <cellStyle name="Standard" xfId="0" builtinId="0"/>
    <cellStyle name="Überschrift 3" xfId="1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ICRA2020mostcited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109/ICRA40945.2020.9196679" TargetMode="External"/><Relationship Id="rId13" Type="http://schemas.openxmlformats.org/officeDocument/2006/relationships/hyperlink" Target="https://doi.org/10.1109/ICRA40945.2020.9196764" TargetMode="External"/><Relationship Id="rId18" Type="http://schemas.openxmlformats.org/officeDocument/2006/relationships/hyperlink" Target="https://doi.org/10.1109/ICRA40945.2020.9196964" TargetMode="External"/><Relationship Id="rId3" Type="http://schemas.openxmlformats.org/officeDocument/2006/relationships/hyperlink" Target="https://doi.org/10.1109/ICRA40945.2020.9196885" TargetMode="External"/><Relationship Id="rId21" Type="http://schemas.openxmlformats.org/officeDocument/2006/relationships/hyperlink" Target="https://doi.org/10.1109/ICRA40945.2020.9197031" TargetMode="External"/><Relationship Id="rId7" Type="http://schemas.openxmlformats.org/officeDocument/2006/relationships/hyperlink" Target="https://doi.org/10.1109/ICRA40945.2020.9197567" TargetMode="External"/><Relationship Id="rId12" Type="http://schemas.openxmlformats.org/officeDocument/2006/relationships/hyperlink" Target="https://doi.org/10.1109/ICRA40945.2020.9197298" TargetMode="External"/><Relationship Id="rId17" Type="http://schemas.openxmlformats.org/officeDocument/2006/relationships/hyperlink" Target="https://doi.org/10.1109/ICRA40945.2020.9196733" TargetMode="External"/><Relationship Id="rId25" Type="http://schemas.openxmlformats.org/officeDocument/2006/relationships/hyperlink" Target="https://doi.org/10.1109/ICRA40945.2020.9196714" TargetMode="External"/><Relationship Id="rId2" Type="http://schemas.openxmlformats.org/officeDocument/2006/relationships/hyperlink" Target="https://doi.org/10.1109/ICRA40945.2020.9197318" TargetMode="External"/><Relationship Id="rId16" Type="http://schemas.openxmlformats.org/officeDocument/2006/relationships/hyperlink" Target="https://doi.org/10.1109/ICRA40945.2020.9197082" TargetMode="External"/><Relationship Id="rId20" Type="http://schemas.openxmlformats.org/officeDocument/2006/relationships/hyperlink" Target="https://doi.org/10.1109/ICRA40945.2020.9196740" TargetMode="External"/><Relationship Id="rId1" Type="http://schemas.openxmlformats.org/officeDocument/2006/relationships/hyperlink" Target="https://doi.org/10.1109/ICRA40945.2020.9196796" TargetMode="External"/><Relationship Id="rId6" Type="http://schemas.openxmlformats.org/officeDocument/2006/relationships/hyperlink" Target="https://doi.org/10.1109/ICRA40945.2020.9196673" TargetMode="External"/><Relationship Id="rId11" Type="http://schemas.openxmlformats.org/officeDocument/2006/relationships/hyperlink" Target="https://doi.org/10.1109/ICRA40945.2020.9197503" TargetMode="External"/><Relationship Id="rId24" Type="http://schemas.openxmlformats.org/officeDocument/2006/relationships/hyperlink" Target="https://doi.org/10.1109/ICRA40945.2020.9197518" TargetMode="External"/><Relationship Id="rId5" Type="http://schemas.openxmlformats.org/officeDocument/2006/relationships/hyperlink" Target="https://doi.org/10.1109/ICRA40945.2020.9197008" TargetMode="External"/><Relationship Id="rId15" Type="http://schemas.openxmlformats.org/officeDocument/2006/relationships/hyperlink" Target="https://doi.org/10.1109/ICRA40945.2020.9197440" TargetMode="External"/><Relationship Id="rId23" Type="http://schemas.openxmlformats.org/officeDocument/2006/relationships/hyperlink" Target="https://doi.org/10.1109/ICRA40945.2020.9197313" TargetMode="External"/><Relationship Id="rId10" Type="http://schemas.openxmlformats.org/officeDocument/2006/relationships/hyperlink" Target="https://doi.org/10.1109/ICRA40945.2020.9196777" TargetMode="External"/><Relationship Id="rId19" Type="http://schemas.openxmlformats.org/officeDocument/2006/relationships/hyperlink" Target="https://doi.org/10.1109/ICRA40945.2020.9196524" TargetMode="External"/><Relationship Id="rId4" Type="http://schemas.openxmlformats.org/officeDocument/2006/relationships/hyperlink" Target="https://doi.org/10.1109/ICRA40945.2020.9196621" TargetMode="External"/><Relationship Id="rId9" Type="http://schemas.openxmlformats.org/officeDocument/2006/relationships/hyperlink" Target="https://doi.org/10.1109/ICRA40945.2020.9196884" TargetMode="External"/><Relationship Id="rId14" Type="http://schemas.openxmlformats.org/officeDocument/2006/relationships/hyperlink" Target="https://doi.org/10.1109/ICRA40945.2020.9196944" TargetMode="External"/><Relationship Id="rId22" Type="http://schemas.openxmlformats.org/officeDocument/2006/relationships/hyperlink" Target="https://doi.org/10.1109/ICRA40945.2020.91966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6"/>
  <sheetViews>
    <sheetView tabSelected="1" topLeftCell="F1" workbookViewId="0">
      <selection activeCell="F11" sqref="F11"/>
    </sheetView>
  </sheetViews>
  <sheetFormatPr baseColWidth="10" defaultRowHeight="15" x14ac:dyDescent="0.25"/>
  <cols>
    <col min="1" max="1" width="15" style="2" bestFit="1" customWidth="1"/>
    <col min="2" max="3" width="11.42578125" style="2"/>
    <col min="4" max="4" width="15" style="2" bestFit="1" customWidth="1"/>
    <col min="5" max="5" width="25.28515625" style="2" bestFit="1" customWidth="1"/>
    <col min="6" max="6" width="27.42578125" style="2" customWidth="1"/>
    <col min="7" max="9" width="11.42578125" style="2"/>
    <col min="10" max="10" width="8.5703125" style="2" customWidth="1"/>
    <col min="11" max="11" width="27.85546875" style="2" customWidth="1"/>
    <col min="12" max="12" width="10.28515625" style="2" customWidth="1"/>
    <col min="13" max="13" width="31.140625" style="2" bestFit="1" customWidth="1"/>
    <col min="14" max="14" width="35.5703125" style="2" customWidth="1"/>
    <col min="15" max="15" width="81.140625" style="2" bestFit="1" customWidth="1"/>
    <col min="16" max="16" width="64.5703125" style="2" bestFit="1" customWidth="1"/>
    <col min="17" max="17" width="9.28515625" style="2" customWidth="1"/>
    <col min="18" max="18" width="16.5703125" style="2" bestFit="1" customWidth="1"/>
    <col min="19" max="32" width="64.5703125" style="2" customWidth="1"/>
    <col min="33" max="33" width="9.85546875" style="2" bestFit="1" customWidth="1"/>
    <col min="34" max="34" width="5" style="2" bestFit="1" customWidth="1"/>
    <col min="35" max="35" width="30.140625" style="2" bestFit="1" customWidth="1"/>
    <col min="36" max="36" width="3.5703125" style="2" bestFit="1" customWidth="1"/>
    <col min="37" max="37" width="13.140625" style="2" bestFit="1" customWidth="1"/>
    <col min="38" max="38" width="10.140625" style="2" bestFit="1" customWidth="1"/>
    <col min="39" max="40" width="15.140625" style="2" bestFit="1" customWidth="1"/>
    <col min="41" max="41" width="11.42578125" style="2"/>
    <col min="42" max="42" width="11.7109375" style="2" bestFit="1" customWidth="1"/>
    <col min="43" max="43" width="10.85546875" style="2" bestFit="1" customWidth="1"/>
    <col min="44" max="44" width="5.5703125" style="2" bestFit="1" customWidth="1"/>
    <col min="45" max="45" width="8" style="2" bestFit="1" customWidth="1"/>
    <col min="46" max="46" width="19.28515625" style="2" bestFit="1" customWidth="1"/>
    <col min="47" max="47" width="19.5703125" style="2" bestFit="1" customWidth="1"/>
    <col min="48" max="48" width="10.140625" style="2" bestFit="1" customWidth="1"/>
    <col min="49" max="49" width="6.42578125" style="2" bestFit="1" customWidth="1"/>
    <col min="50" max="50" width="14.140625" style="2" bestFit="1" customWidth="1"/>
    <col min="51" max="51" width="10.7109375" style="2" bestFit="1" customWidth="1"/>
    <col min="52" max="52" width="10.85546875" style="2" bestFit="1" customWidth="1"/>
    <col min="53" max="53" width="9.42578125" style="2" bestFit="1" customWidth="1"/>
    <col min="54" max="54" width="5.7109375" style="2" bestFit="1" customWidth="1"/>
    <col min="55" max="55" width="9.28515625" style="2" bestFit="1" customWidth="1"/>
    <col min="56" max="56" width="6.42578125" style="2" bestFit="1" customWidth="1"/>
    <col min="57" max="57" width="5.28515625" style="2" bestFit="1" customWidth="1"/>
    <col min="58" max="58" width="7.7109375" style="2" bestFit="1" customWidth="1"/>
    <col min="59" max="59" width="15.5703125" style="2" bestFit="1" customWidth="1"/>
    <col min="60" max="60" width="14" style="2" bestFit="1" customWidth="1"/>
    <col min="61" max="61" width="12" style="2" bestFit="1" customWidth="1"/>
    <col min="62" max="62" width="81.140625" style="2" bestFit="1" customWidth="1"/>
    <col min="63" max="63" width="6.28515625" style="2" bestFit="1" customWidth="1"/>
    <col min="64" max="64" width="81.140625" style="2" bestFit="1" customWidth="1"/>
    <col min="65" max="65" width="16.42578125" style="2" bestFit="1" customWidth="1"/>
    <col min="66" max="66" width="11.85546875" style="2" bestFit="1" customWidth="1"/>
    <col min="67" max="67" width="14.42578125" style="2" bestFit="1" customWidth="1"/>
    <col min="68" max="68" width="6.28515625" style="2" bestFit="1" customWidth="1"/>
    <col min="69" max="69" width="12.140625" style="2" bestFit="1" customWidth="1"/>
    <col min="70" max="70" width="9.85546875" style="2" bestFit="1" customWidth="1"/>
    <col min="71" max="71" width="11.28515625" style="2" bestFit="1" customWidth="1"/>
    <col min="72" max="72" width="14.5703125" style="2" bestFit="1" customWidth="1"/>
    <col min="73" max="73" width="12" style="2" bestFit="1" customWidth="1"/>
    <col min="74" max="74" width="12.7109375" style="2" bestFit="1" customWidth="1"/>
    <col min="75" max="75" width="11.5703125" style="2" bestFit="1" customWidth="1"/>
    <col min="76" max="76" width="10" style="2" bestFit="1" customWidth="1"/>
    <col min="77" max="77" width="10.28515625" style="2" bestFit="1" customWidth="1"/>
    <col min="78" max="78" width="8.140625" style="2" bestFit="1" customWidth="1"/>
    <col min="79" max="79" width="11.42578125" style="2"/>
    <col min="80" max="80" width="9" style="2" bestFit="1" customWidth="1"/>
    <col min="81" max="81" width="9.42578125" style="2" bestFit="1" customWidth="1"/>
    <col min="82" max="82" width="16.5703125" style="2" bestFit="1" customWidth="1"/>
    <col min="83" max="83" width="11.42578125" style="2"/>
    <col min="84" max="84" width="9.28515625" style="2" bestFit="1" customWidth="1"/>
    <col min="85" max="85" width="6.140625" style="2" bestFit="1" customWidth="1"/>
    <col min="86" max="86" width="8.28515625" style="2" bestFit="1" customWidth="1"/>
    <col min="87" max="87" width="7.28515625" style="2" bestFit="1" customWidth="1"/>
    <col min="88" max="88" width="13.140625" style="2" bestFit="1" customWidth="1"/>
    <col min="89" max="89" width="5.5703125" style="2" bestFit="1" customWidth="1"/>
    <col min="90" max="90" width="8.42578125" style="2" bestFit="1" customWidth="1"/>
    <col min="91" max="91" width="12.140625" style="2" bestFit="1" customWidth="1"/>
    <col min="92" max="92" width="10.42578125" style="2" bestFit="1" customWidth="1"/>
    <col min="93" max="93" width="19" style="2" bestFit="1" customWidth="1"/>
    <col min="94" max="94" width="9" style="2" bestFit="1" customWidth="1"/>
    <col min="95" max="95" width="16.140625" style="2" bestFit="1" customWidth="1"/>
    <col min="96" max="96" width="8" style="2" bestFit="1" customWidth="1"/>
    <col min="97" max="97" width="14.140625" style="2" bestFit="1" customWidth="1"/>
    <col min="98" max="98" width="64.5703125" style="2" bestFit="1" customWidth="1"/>
    <col min="99" max="99" width="5.85546875" style="2" bestFit="1" customWidth="1"/>
    <col min="100" max="100" width="11" style="2" bestFit="1" customWidth="1"/>
    <col min="101" max="101" width="8.85546875" style="2" bestFit="1" customWidth="1"/>
    <col min="102" max="102" width="11.42578125" style="2"/>
    <col min="103" max="103" width="16.28515625" style="2" bestFit="1" customWidth="1"/>
    <col min="104" max="104" width="21.85546875" style="2" bestFit="1" customWidth="1"/>
    <col min="105" max="105" width="7.85546875" style="2" bestFit="1" customWidth="1"/>
    <col min="106" max="106" width="7.42578125" style="2" bestFit="1" customWidth="1"/>
    <col min="107" max="107" width="5.5703125" style="2" bestFit="1" customWidth="1"/>
    <col min="108" max="108" width="13.28515625" style="2" bestFit="1" customWidth="1"/>
    <col min="109" max="109" width="7.5703125" style="2" bestFit="1" customWidth="1"/>
    <col min="110" max="110" width="7.7109375" style="2" bestFit="1" customWidth="1"/>
    <col min="111" max="111" width="11" style="2" bestFit="1" customWidth="1"/>
    <col min="112" max="112" width="7.28515625" style="2" bestFit="1" customWidth="1"/>
    <col min="113" max="113" width="15.28515625" style="2" bestFit="1" customWidth="1"/>
    <col min="114" max="16384" width="11.42578125" style="2"/>
  </cols>
  <sheetData>
    <row r="1" spans="1:40" x14ac:dyDescent="0.25">
      <c r="F1" s="2" t="s">
        <v>145</v>
      </c>
    </row>
    <row r="3" spans="1:40" ht="15.75" thickBot="1" x14ac:dyDescent="0.3">
      <c r="A3" s="5" t="s">
        <v>136</v>
      </c>
      <c r="B3" s="5" t="s">
        <v>60</v>
      </c>
      <c r="C3" s="5" t="s">
        <v>55</v>
      </c>
      <c r="D3" s="5" t="s">
        <v>56</v>
      </c>
      <c r="E3" s="5" t="s">
        <v>69</v>
      </c>
      <c r="F3" s="5" t="s">
        <v>57</v>
      </c>
      <c r="G3" s="5" t="s">
        <v>58</v>
      </c>
      <c r="H3" s="5" t="s">
        <v>79</v>
      </c>
      <c r="I3" s="5" t="s">
        <v>59</v>
      </c>
      <c r="J3" s="5" t="s">
        <v>61</v>
      </c>
      <c r="K3" s="5" t="s">
        <v>74</v>
      </c>
      <c r="L3" s="5" t="s">
        <v>140</v>
      </c>
      <c r="M3" s="5" t="s">
        <v>64</v>
      </c>
      <c r="N3" s="5" t="s">
        <v>53</v>
      </c>
      <c r="O3" s="5" t="s">
        <v>1</v>
      </c>
      <c r="P3" s="5" t="s">
        <v>0</v>
      </c>
      <c r="Q3" s="5" t="s">
        <v>134</v>
      </c>
      <c r="R3" s="5" t="s">
        <v>135</v>
      </c>
    </row>
    <row r="4" spans="1:40" x14ac:dyDescent="0.25">
      <c r="A4" s="2" t="s">
        <v>83</v>
      </c>
      <c r="B4" s="2" t="s">
        <v>70</v>
      </c>
      <c r="C4" s="2" t="s">
        <v>62</v>
      </c>
      <c r="D4" s="2" t="s">
        <v>68</v>
      </c>
      <c r="E4" s="2" t="s">
        <v>70</v>
      </c>
      <c r="F4" s="2" t="s">
        <v>70</v>
      </c>
      <c r="G4" s="2" t="s">
        <v>63</v>
      </c>
      <c r="H4" s="2" t="s">
        <v>67</v>
      </c>
      <c r="I4" s="2" t="s">
        <v>70</v>
      </c>
      <c r="J4" s="2" t="s">
        <v>62</v>
      </c>
      <c r="K4" s="2" t="s">
        <v>53</v>
      </c>
      <c r="M4" s="2" t="s">
        <v>65</v>
      </c>
      <c r="N4" s="2" t="s">
        <v>54</v>
      </c>
      <c r="O4" s="2" t="s">
        <v>10</v>
      </c>
      <c r="P4" s="2" t="s">
        <v>9</v>
      </c>
      <c r="Q4" s="2">
        <f>LEN(P4)-LEN(SUBSTITUTE(P4,";",""))+1</f>
        <v>5</v>
      </c>
      <c r="R4" s="2" t="s">
        <v>62</v>
      </c>
      <c r="AL4" s="3"/>
      <c r="AM4" s="4"/>
      <c r="AN4" s="4"/>
    </row>
    <row r="5" spans="1:40" x14ac:dyDescent="0.25">
      <c r="A5" s="2" t="s">
        <v>83</v>
      </c>
      <c r="B5" s="2" t="s">
        <v>62</v>
      </c>
      <c r="C5" s="2" t="s">
        <v>62</v>
      </c>
      <c r="D5" s="2" t="s">
        <v>68</v>
      </c>
      <c r="E5" s="2" t="s">
        <v>70</v>
      </c>
      <c r="F5" s="2" t="s">
        <v>72</v>
      </c>
      <c r="G5" s="2" t="s">
        <v>63</v>
      </c>
      <c r="H5" s="2" t="s">
        <v>70</v>
      </c>
      <c r="I5" s="2" t="s">
        <v>70</v>
      </c>
      <c r="J5" s="2" t="s">
        <v>70</v>
      </c>
      <c r="K5" s="2" t="s">
        <v>53</v>
      </c>
      <c r="M5" s="2" t="s">
        <v>65</v>
      </c>
      <c r="N5" s="2" t="s">
        <v>71</v>
      </c>
      <c r="O5" s="2" t="s">
        <v>28</v>
      </c>
      <c r="P5" s="2" t="s">
        <v>27</v>
      </c>
      <c r="Q5" s="2">
        <f>LEN(P5)-LEN(SUBSTITUTE(P5,";",""))+1</f>
        <v>8</v>
      </c>
      <c r="R5" s="2" t="s">
        <v>62</v>
      </c>
      <c r="AL5" s="3"/>
      <c r="AM5" s="4"/>
      <c r="AN5" s="4"/>
    </row>
    <row r="6" spans="1:40" x14ac:dyDescent="0.25">
      <c r="A6" s="2" t="s">
        <v>83</v>
      </c>
      <c r="B6" s="2" t="s">
        <v>70</v>
      </c>
      <c r="C6" s="2" t="s">
        <v>62</v>
      </c>
      <c r="D6" s="2" t="s">
        <v>68</v>
      </c>
      <c r="E6" s="2" t="s">
        <v>70</v>
      </c>
      <c r="F6" s="2" t="s">
        <v>70</v>
      </c>
      <c r="G6" s="2" t="s">
        <v>63</v>
      </c>
      <c r="H6" s="2" t="s">
        <v>70</v>
      </c>
      <c r="I6" s="2" t="s">
        <v>70</v>
      </c>
      <c r="J6" s="2" t="s">
        <v>62</v>
      </c>
      <c r="K6" s="2" t="s">
        <v>53</v>
      </c>
      <c r="M6" s="2" t="s">
        <v>65</v>
      </c>
      <c r="N6" s="2" t="s">
        <v>73</v>
      </c>
      <c r="O6" s="2" t="s">
        <v>34</v>
      </c>
      <c r="P6" s="2" t="s">
        <v>33</v>
      </c>
      <c r="Q6" s="2">
        <f t="shared" ref="Q6:Q28" si="0">LEN(P6)-LEN(SUBSTITUTE(P6,";",""))+1</f>
        <v>6</v>
      </c>
      <c r="R6" s="2" t="s">
        <v>70</v>
      </c>
      <c r="AL6" s="3"/>
      <c r="AM6" s="4"/>
      <c r="AN6" s="4"/>
    </row>
    <row r="7" spans="1:40" x14ac:dyDescent="0.25">
      <c r="A7" s="2" t="s">
        <v>83</v>
      </c>
      <c r="B7" s="2" t="s">
        <v>70</v>
      </c>
      <c r="C7" s="2" t="s">
        <v>78</v>
      </c>
      <c r="D7" s="2" t="s">
        <v>68</v>
      </c>
      <c r="E7" s="2" t="s">
        <v>70</v>
      </c>
      <c r="F7" s="2" t="s">
        <v>72</v>
      </c>
      <c r="G7" s="2" t="s">
        <v>63</v>
      </c>
      <c r="H7" s="2" t="s">
        <v>67</v>
      </c>
      <c r="I7" s="2" t="s">
        <v>70</v>
      </c>
      <c r="J7" s="2" t="s">
        <v>62</v>
      </c>
      <c r="K7" s="2" t="s">
        <v>76</v>
      </c>
      <c r="M7" s="2" t="s">
        <v>65</v>
      </c>
      <c r="N7" s="2" t="s">
        <v>75</v>
      </c>
      <c r="O7" s="2" t="s">
        <v>44</v>
      </c>
      <c r="P7" s="2" t="s">
        <v>43</v>
      </c>
      <c r="Q7" s="2">
        <f t="shared" si="0"/>
        <v>7</v>
      </c>
      <c r="R7" s="2" t="s">
        <v>62</v>
      </c>
      <c r="AL7" s="3"/>
      <c r="AM7" s="4"/>
      <c r="AN7" s="4"/>
    </row>
    <row r="8" spans="1:40" x14ac:dyDescent="0.25">
      <c r="A8" s="2" t="s">
        <v>83</v>
      </c>
      <c r="B8" s="2" t="s">
        <v>70</v>
      </c>
      <c r="C8" s="2" t="s">
        <v>62</v>
      </c>
      <c r="D8" s="2" t="s">
        <v>70</v>
      </c>
      <c r="E8" s="2" t="s">
        <v>70</v>
      </c>
      <c r="F8" s="2" t="s">
        <v>70</v>
      </c>
      <c r="G8" s="2" t="s">
        <v>63</v>
      </c>
      <c r="H8" s="2" t="s">
        <v>70</v>
      </c>
      <c r="I8" s="2" t="s">
        <v>70</v>
      </c>
      <c r="J8" s="2" t="s">
        <v>62</v>
      </c>
      <c r="K8" s="2" t="s">
        <v>82</v>
      </c>
      <c r="M8" s="2" t="s">
        <v>81</v>
      </c>
      <c r="N8" s="2" t="s">
        <v>80</v>
      </c>
      <c r="O8" s="2" t="s">
        <v>46</v>
      </c>
      <c r="P8" s="2" t="s">
        <v>45</v>
      </c>
      <c r="Q8" s="2">
        <f t="shared" si="0"/>
        <v>4</v>
      </c>
      <c r="R8" s="2" t="s">
        <v>70</v>
      </c>
      <c r="AL8" s="3"/>
      <c r="AM8" s="4"/>
      <c r="AN8" s="4"/>
    </row>
    <row r="9" spans="1:40" x14ac:dyDescent="0.25">
      <c r="A9" s="2" t="s">
        <v>83</v>
      </c>
      <c r="B9" s="2" t="s">
        <v>70</v>
      </c>
      <c r="C9" s="2" t="s">
        <v>62</v>
      </c>
      <c r="D9" s="2" t="s">
        <v>68</v>
      </c>
      <c r="E9" s="2" t="s">
        <v>70</v>
      </c>
      <c r="F9" s="2" t="s">
        <v>70</v>
      </c>
      <c r="G9" s="2" t="s">
        <v>63</v>
      </c>
      <c r="H9" s="2" t="s">
        <v>67</v>
      </c>
      <c r="I9" s="2" t="s">
        <v>70</v>
      </c>
      <c r="J9" s="2" t="s">
        <v>62</v>
      </c>
      <c r="K9" s="2" t="s">
        <v>85</v>
      </c>
      <c r="M9" s="2" t="s">
        <v>86</v>
      </c>
      <c r="N9" s="2" t="s">
        <v>84</v>
      </c>
      <c r="O9" s="2" t="s">
        <v>12</v>
      </c>
      <c r="P9" s="2" t="s">
        <v>11</v>
      </c>
      <c r="Q9" s="2">
        <f t="shared" si="0"/>
        <v>10</v>
      </c>
      <c r="R9" s="2" t="s">
        <v>70</v>
      </c>
      <c r="AL9" s="3"/>
      <c r="AM9" s="4"/>
      <c r="AN9" s="4"/>
    </row>
    <row r="10" spans="1:40" x14ac:dyDescent="0.25">
      <c r="A10" s="2" t="s">
        <v>88</v>
      </c>
      <c r="B10" s="2" t="s">
        <v>70</v>
      </c>
      <c r="C10" s="2" t="s">
        <v>62</v>
      </c>
      <c r="D10" s="2" t="s">
        <v>62</v>
      </c>
      <c r="E10" s="2" t="s">
        <v>70</v>
      </c>
      <c r="F10" s="2" t="s">
        <v>70</v>
      </c>
      <c r="G10" s="2" t="s">
        <v>63</v>
      </c>
      <c r="H10" s="2" t="s">
        <v>70</v>
      </c>
      <c r="I10" s="2" t="s">
        <v>70</v>
      </c>
      <c r="J10" s="2" t="s">
        <v>62</v>
      </c>
      <c r="K10" s="2" t="s">
        <v>53</v>
      </c>
      <c r="M10" s="2" t="s">
        <v>144</v>
      </c>
      <c r="N10" s="2" t="s">
        <v>87</v>
      </c>
      <c r="O10" s="2" t="s">
        <v>48</v>
      </c>
      <c r="P10" s="2" t="s">
        <v>47</v>
      </c>
      <c r="Q10" s="2">
        <f t="shared" si="0"/>
        <v>5</v>
      </c>
      <c r="R10" s="2" t="s">
        <v>70</v>
      </c>
      <c r="AL10" s="3"/>
      <c r="AM10" s="4"/>
      <c r="AN10" s="4"/>
    </row>
    <row r="11" spans="1:40" x14ac:dyDescent="0.25">
      <c r="A11" s="2" t="s">
        <v>89</v>
      </c>
      <c r="N11" s="2" t="s">
        <v>91</v>
      </c>
      <c r="O11" s="2" t="s">
        <v>40</v>
      </c>
      <c r="P11" s="2" t="s">
        <v>39</v>
      </c>
      <c r="Q11" s="2">
        <f t="shared" si="0"/>
        <v>3</v>
      </c>
      <c r="R11" s="2" t="s">
        <v>70</v>
      </c>
      <c r="AL11" s="3"/>
      <c r="AM11" s="4"/>
      <c r="AN11" s="4"/>
    </row>
    <row r="12" spans="1:40" x14ac:dyDescent="0.25">
      <c r="A12" s="2" t="s">
        <v>83</v>
      </c>
      <c r="B12" s="2" t="s">
        <v>70</v>
      </c>
      <c r="C12" s="2" t="s">
        <v>93</v>
      </c>
      <c r="E12" s="2" t="s">
        <v>70</v>
      </c>
      <c r="F12" s="2" t="s">
        <v>72</v>
      </c>
      <c r="G12" s="2" t="s">
        <v>63</v>
      </c>
      <c r="H12" s="2" t="s">
        <v>67</v>
      </c>
      <c r="I12" s="2" t="s">
        <v>70</v>
      </c>
      <c r="J12" s="2" t="s">
        <v>62</v>
      </c>
      <c r="K12" s="2" t="s">
        <v>92</v>
      </c>
      <c r="M12" s="2" t="s">
        <v>94</v>
      </c>
      <c r="N12" s="2" t="s">
        <v>90</v>
      </c>
      <c r="O12" s="2" t="s">
        <v>50</v>
      </c>
      <c r="P12" s="2" t="s">
        <v>49</v>
      </c>
      <c r="Q12" s="2">
        <f t="shared" si="0"/>
        <v>4</v>
      </c>
      <c r="R12" s="2" t="s">
        <v>70</v>
      </c>
      <c r="AL12" s="3"/>
      <c r="AM12" s="4"/>
      <c r="AN12" s="4"/>
    </row>
    <row r="13" spans="1:40" x14ac:dyDescent="0.25">
      <c r="A13" s="2" t="s">
        <v>83</v>
      </c>
      <c r="B13" s="2" t="s">
        <v>70</v>
      </c>
      <c r="C13" s="2" t="s">
        <v>62</v>
      </c>
      <c r="D13" s="2" t="s">
        <v>68</v>
      </c>
      <c r="E13" s="2" t="s">
        <v>70</v>
      </c>
      <c r="F13" s="2" t="s">
        <v>70</v>
      </c>
      <c r="G13" s="2" t="s">
        <v>63</v>
      </c>
      <c r="H13" s="2" t="s">
        <v>70</v>
      </c>
      <c r="I13" s="2" t="s">
        <v>70</v>
      </c>
      <c r="J13" s="2" t="s">
        <v>62</v>
      </c>
      <c r="K13" s="2" t="s">
        <v>96</v>
      </c>
      <c r="M13" s="2" t="s">
        <v>137</v>
      </c>
      <c r="N13" s="2" t="s">
        <v>95</v>
      </c>
      <c r="O13" s="2" t="s">
        <v>38</v>
      </c>
      <c r="P13" s="2" t="s">
        <v>37</v>
      </c>
      <c r="Q13" s="2">
        <f t="shared" si="0"/>
        <v>5</v>
      </c>
      <c r="R13" s="2" t="s">
        <v>70</v>
      </c>
      <c r="AL13" s="3"/>
      <c r="AM13" s="4"/>
      <c r="AN13" s="4"/>
    </row>
    <row r="14" spans="1:40" x14ac:dyDescent="0.25">
      <c r="A14" s="2" t="s">
        <v>83</v>
      </c>
      <c r="B14" s="2" t="s">
        <v>62</v>
      </c>
      <c r="C14" s="2" t="s">
        <v>93</v>
      </c>
      <c r="D14" s="2" t="s">
        <v>68</v>
      </c>
      <c r="E14" s="2" t="s">
        <v>70</v>
      </c>
      <c r="F14" s="2" t="s">
        <v>70</v>
      </c>
      <c r="G14" s="2" t="s">
        <v>63</v>
      </c>
      <c r="H14" s="2" t="s">
        <v>67</v>
      </c>
      <c r="I14" s="2" t="s">
        <v>70</v>
      </c>
      <c r="J14" s="2" t="s">
        <v>62</v>
      </c>
      <c r="K14" s="2" t="s">
        <v>99</v>
      </c>
      <c r="L14" s="1" t="s">
        <v>98</v>
      </c>
      <c r="M14" s="2" t="s">
        <v>86</v>
      </c>
      <c r="N14" s="2" t="s">
        <v>97</v>
      </c>
      <c r="O14" s="2" t="s">
        <v>36</v>
      </c>
      <c r="P14" s="2" t="s">
        <v>35</v>
      </c>
      <c r="Q14" s="2">
        <f t="shared" si="0"/>
        <v>4</v>
      </c>
      <c r="R14" s="2" t="s">
        <v>62</v>
      </c>
      <c r="AL14" s="3"/>
      <c r="AM14" s="4"/>
      <c r="AN14" s="4"/>
    </row>
    <row r="15" spans="1:40" x14ac:dyDescent="0.25">
      <c r="A15" s="2" t="s">
        <v>83</v>
      </c>
      <c r="B15" s="2" t="s">
        <v>70</v>
      </c>
      <c r="C15" s="2" t="s">
        <v>62</v>
      </c>
      <c r="D15" s="2" t="s">
        <v>68</v>
      </c>
      <c r="E15" s="2" t="s">
        <v>70</v>
      </c>
      <c r="F15" s="2" t="s">
        <v>70</v>
      </c>
      <c r="G15" s="2" t="s">
        <v>63</v>
      </c>
      <c r="H15" s="2" t="s">
        <v>70</v>
      </c>
      <c r="I15" s="2" t="s">
        <v>70</v>
      </c>
      <c r="J15" s="2" t="s">
        <v>62</v>
      </c>
      <c r="K15" s="2" t="s">
        <v>102</v>
      </c>
      <c r="M15" s="2" t="s">
        <v>86</v>
      </c>
      <c r="N15" s="2" t="s">
        <v>103</v>
      </c>
      <c r="O15" s="2" t="s">
        <v>24</v>
      </c>
      <c r="P15" s="2" t="s">
        <v>23</v>
      </c>
      <c r="Q15" s="2">
        <f t="shared" si="0"/>
        <v>3</v>
      </c>
      <c r="R15" s="2" t="s">
        <v>70</v>
      </c>
      <c r="AL15" s="3"/>
      <c r="AM15" s="4"/>
      <c r="AN15" s="4"/>
    </row>
    <row r="16" spans="1:40" x14ac:dyDescent="0.25">
      <c r="A16" s="2" t="s">
        <v>83</v>
      </c>
      <c r="B16" s="2" t="s">
        <v>70</v>
      </c>
      <c r="C16" s="2" t="s">
        <v>62</v>
      </c>
      <c r="D16" s="2" t="s">
        <v>70</v>
      </c>
      <c r="E16" s="2" t="s">
        <v>70</v>
      </c>
      <c r="F16" s="2" t="s">
        <v>70</v>
      </c>
      <c r="G16" s="2" t="s">
        <v>63</v>
      </c>
      <c r="H16" s="2" t="s">
        <v>70</v>
      </c>
      <c r="I16" s="2" t="s">
        <v>70</v>
      </c>
      <c r="J16" s="2" t="s">
        <v>70</v>
      </c>
      <c r="K16" s="2" t="s">
        <v>53</v>
      </c>
      <c r="M16" s="2" t="s">
        <v>100</v>
      </c>
      <c r="N16" s="2" t="s">
        <v>101</v>
      </c>
      <c r="O16" s="2" t="s">
        <v>3</v>
      </c>
      <c r="P16" s="2" t="s">
        <v>2</v>
      </c>
      <c r="Q16" s="2">
        <f t="shared" si="0"/>
        <v>4</v>
      </c>
      <c r="R16" s="2" t="s">
        <v>70</v>
      </c>
      <c r="AL16" s="3"/>
      <c r="AM16" s="4"/>
      <c r="AN16" s="4"/>
    </row>
    <row r="17" spans="1:40" x14ac:dyDescent="0.25">
      <c r="A17" s="2" t="s">
        <v>83</v>
      </c>
      <c r="B17" s="2" t="s">
        <v>70</v>
      </c>
      <c r="C17" s="2" t="s">
        <v>62</v>
      </c>
      <c r="D17" s="2" t="s">
        <v>70</v>
      </c>
      <c r="E17" s="2" t="s">
        <v>70</v>
      </c>
      <c r="F17" s="2" t="s">
        <v>72</v>
      </c>
      <c r="G17" s="2" t="s">
        <v>63</v>
      </c>
      <c r="H17" s="2" t="s">
        <v>70</v>
      </c>
      <c r="I17" s="2" t="s">
        <v>70</v>
      </c>
      <c r="J17" s="2" t="s">
        <v>62</v>
      </c>
      <c r="K17" s="2" t="s">
        <v>105</v>
      </c>
      <c r="M17" s="2" t="s">
        <v>141</v>
      </c>
      <c r="N17" s="2" t="s">
        <v>104</v>
      </c>
      <c r="O17" s="2" t="s">
        <v>16</v>
      </c>
      <c r="P17" s="2" t="s">
        <v>15</v>
      </c>
      <c r="Q17" s="2">
        <f t="shared" si="0"/>
        <v>12</v>
      </c>
      <c r="R17" s="2" t="s">
        <v>62</v>
      </c>
      <c r="AL17" s="3"/>
      <c r="AM17" s="4"/>
      <c r="AN17" s="4"/>
    </row>
    <row r="18" spans="1:40" x14ac:dyDescent="0.25">
      <c r="A18" s="2" t="s">
        <v>83</v>
      </c>
      <c r="B18" s="2" t="s">
        <v>70</v>
      </c>
      <c r="C18" s="2" t="s">
        <v>62</v>
      </c>
      <c r="D18" s="2" t="s">
        <v>107</v>
      </c>
      <c r="E18" s="2" t="s">
        <v>70</v>
      </c>
      <c r="F18" s="2" t="s">
        <v>70</v>
      </c>
      <c r="G18" s="2" t="s">
        <v>63</v>
      </c>
      <c r="H18" s="2" t="s">
        <v>143</v>
      </c>
      <c r="I18" s="2" t="s">
        <v>70</v>
      </c>
      <c r="J18" s="2" t="s">
        <v>62</v>
      </c>
      <c r="K18" s="2" t="s">
        <v>106</v>
      </c>
      <c r="M18" s="2" t="s">
        <v>142</v>
      </c>
      <c r="N18" s="2" t="s">
        <v>108</v>
      </c>
      <c r="O18" s="2" t="s">
        <v>20</v>
      </c>
      <c r="P18" s="2" t="s">
        <v>19</v>
      </c>
      <c r="Q18" s="2">
        <f t="shared" si="0"/>
        <v>6</v>
      </c>
      <c r="R18" s="2" t="s">
        <v>62</v>
      </c>
      <c r="AL18" s="3"/>
      <c r="AM18" s="4"/>
      <c r="AN18" s="4"/>
    </row>
    <row r="19" spans="1:40" x14ac:dyDescent="0.25">
      <c r="A19" s="2" t="s">
        <v>83</v>
      </c>
      <c r="B19" s="2" t="s">
        <v>70</v>
      </c>
      <c r="C19" s="2" t="s">
        <v>62</v>
      </c>
      <c r="D19" s="2" t="s">
        <v>70</v>
      </c>
      <c r="E19" s="2" t="s">
        <v>70</v>
      </c>
      <c r="F19" s="2" t="s">
        <v>109</v>
      </c>
      <c r="G19" s="2" t="s">
        <v>63</v>
      </c>
      <c r="H19" s="2" t="s">
        <v>70</v>
      </c>
      <c r="I19" s="2" t="s">
        <v>70</v>
      </c>
      <c r="J19" s="2" t="s">
        <v>62</v>
      </c>
      <c r="K19" s="2" t="s">
        <v>110</v>
      </c>
      <c r="M19" s="2" t="s">
        <v>86</v>
      </c>
      <c r="N19" s="2" t="s">
        <v>138</v>
      </c>
      <c r="O19" s="2" t="s">
        <v>14</v>
      </c>
      <c r="P19" s="2" t="s">
        <v>13</v>
      </c>
      <c r="Q19" s="2">
        <f t="shared" si="0"/>
        <v>2</v>
      </c>
      <c r="R19" s="2" t="s">
        <v>70</v>
      </c>
      <c r="AL19" s="3"/>
      <c r="AM19" s="4"/>
      <c r="AN19" s="4"/>
    </row>
    <row r="20" spans="1:40" x14ac:dyDescent="0.25">
      <c r="A20" s="2" t="s">
        <v>83</v>
      </c>
      <c r="B20" s="2" t="s">
        <v>70</v>
      </c>
      <c r="C20" s="2" t="s">
        <v>62</v>
      </c>
      <c r="D20" s="2" t="s">
        <v>70</v>
      </c>
      <c r="E20" s="2" t="s">
        <v>70</v>
      </c>
      <c r="F20" s="2" t="s">
        <v>62</v>
      </c>
      <c r="G20" s="2" t="s">
        <v>63</v>
      </c>
      <c r="H20" s="2" t="s">
        <v>70</v>
      </c>
      <c r="I20" s="2" t="s">
        <v>70</v>
      </c>
      <c r="J20" s="2" t="s">
        <v>62</v>
      </c>
      <c r="K20" s="2" t="s">
        <v>111</v>
      </c>
      <c r="M20" s="2" t="s">
        <v>112</v>
      </c>
      <c r="N20" s="2" t="s">
        <v>111</v>
      </c>
      <c r="O20" s="2" t="s">
        <v>30</v>
      </c>
      <c r="P20" s="2" t="s">
        <v>29</v>
      </c>
      <c r="Q20" s="2">
        <f t="shared" si="0"/>
        <v>5</v>
      </c>
      <c r="R20" s="2" t="s">
        <v>62</v>
      </c>
      <c r="AL20" s="3"/>
      <c r="AM20" s="4"/>
      <c r="AN20" s="4"/>
    </row>
    <row r="21" spans="1:40" x14ac:dyDescent="0.25">
      <c r="A21" s="2" t="s">
        <v>83</v>
      </c>
      <c r="B21" s="2" t="s">
        <v>70</v>
      </c>
      <c r="C21" s="2" t="s">
        <v>62</v>
      </c>
      <c r="D21" s="2" t="s">
        <v>68</v>
      </c>
      <c r="E21" s="2" t="s">
        <v>70</v>
      </c>
      <c r="F21" s="2" t="s">
        <v>70</v>
      </c>
      <c r="G21" s="2" t="s">
        <v>63</v>
      </c>
      <c r="H21" s="2" t="s">
        <v>70</v>
      </c>
      <c r="I21" s="2" t="s">
        <v>70</v>
      </c>
      <c r="J21" s="2" t="s">
        <v>70</v>
      </c>
      <c r="K21" s="2" t="s">
        <v>96</v>
      </c>
      <c r="M21" s="2" t="s">
        <v>113</v>
      </c>
      <c r="N21" s="2" t="s">
        <v>139</v>
      </c>
      <c r="O21" s="2" t="s">
        <v>52</v>
      </c>
      <c r="P21" s="2" t="s">
        <v>51</v>
      </c>
      <c r="Q21" s="2">
        <f t="shared" si="0"/>
        <v>7</v>
      </c>
      <c r="R21" s="2" t="s">
        <v>62</v>
      </c>
      <c r="AL21" s="3"/>
      <c r="AM21" s="4"/>
      <c r="AN21" s="4"/>
    </row>
    <row r="22" spans="1:40" x14ac:dyDescent="0.25">
      <c r="A22" s="2" t="s">
        <v>83</v>
      </c>
      <c r="B22" s="2" t="s">
        <v>70</v>
      </c>
      <c r="C22" s="2" t="s">
        <v>62</v>
      </c>
      <c r="D22" s="2" t="s">
        <v>115</v>
      </c>
      <c r="E22" s="2" t="s">
        <v>70</v>
      </c>
      <c r="F22" s="2" t="s">
        <v>70</v>
      </c>
      <c r="G22" s="2" t="s">
        <v>63</v>
      </c>
      <c r="H22" s="2" t="s">
        <v>116</v>
      </c>
      <c r="I22" s="2" t="s">
        <v>70</v>
      </c>
      <c r="J22" s="2" t="s">
        <v>62</v>
      </c>
      <c r="K22" s="2" t="s">
        <v>102</v>
      </c>
      <c r="M22" s="2" t="s">
        <v>86</v>
      </c>
      <c r="N22" s="2" t="s">
        <v>114</v>
      </c>
      <c r="O22" s="2" t="s">
        <v>22</v>
      </c>
      <c r="P22" s="2" t="s">
        <v>21</v>
      </c>
      <c r="Q22" s="2">
        <f t="shared" si="0"/>
        <v>5</v>
      </c>
      <c r="R22" s="2" t="s">
        <v>70</v>
      </c>
      <c r="AL22" s="3"/>
      <c r="AM22" s="4"/>
      <c r="AN22" s="4"/>
    </row>
    <row r="23" spans="1:40" x14ac:dyDescent="0.25">
      <c r="A23" s="2" t="s">
        <v>83</v>
      </c>
      <c r="B23" s="2" t="s">
        <v>70</v>
      </c>
      <c r="C23" s="2" t="s">
        <v>62</v>
      </c>
      <c r="D23" s="2" t="s">
        <v>70</v>
      </c>
      <c r="E23" s="2" t="s">
        <v>70</v>
      </c>
      <c r="F23" s="2" t="s">
        <v>70</v>
      </c>
      <c r="G23" s="2" t="s">
        <v>63</v>
      </c>
      <c r="H23" s="2" t="s">
        <v>70</v>
      </c>
      <c r="I23" s="2" t="s">
        <v>70</v>
      </c>
      <c r="J23" s="2" t="s">
        <v>70</v>
      </c>
      <c r="K23" s="2" t="s">
        <v>53</v>
      </c>
      <c r="M23" s="2" t="s">
        <v>118</v>
      </c>
      <c r="N23" s="2" t="s">
        <v>117</v>
      </c>
      <c r="O23" s="2" t="s">
        <v>8</v>
      </c>
      <c r="P23" s="2" t="s">
        <v>7</v>
      </c>
      <c r="Q23" s="2">
        <f t="shared" si="0"/>
        <v>5</v>
      </c>
      <c r="R23" s="2" t="s">
        <v>70</v>
      </c>
      <c r="AL23" s="3"/>
      <c r="AM23" s="4"/>
      <c r="AN23" s="4"/>
    </row>
    <row r="24" spans="1:40" x14ac:dyDescent="0.25">
      <c r="A24" s="2" t="s">
        <v>83</v>
      </c>
      <c r="B24" s="2" t="s">
        <v>70</v>
      </c>
      <c r="C24" s="2" t="s">
        <v>62</v>
      </c>
      <c r="D24" s="2" t="s">
        <v>68</v>
      </c>
      <c r="E24" s="2" t="s">
        <v>70</v>
      </c>
      <c r="F24" s="2" t="s">
        <v>109</v>
      </c>
      <c r="G24" s="2" t="s">
        <v>63</v>
      </c>
      <c r="H24" s="2" t="s">
        <v>70</v>
      </c>
      <c r="I24" s="2" t="s">
        <v>70</v>
      </c>
      <c r="J24" s="2" t="s">
        <v>62</v>
      </c>
      <c r="K24" s="2" t="s">
        <v>106</v>
      </c>
      <c r="M24" s="2" t="s">
        <v>120</v>
      </c>
      <c r="N24" s="2" t="s">
        <v>119</v>
      </c>
      <c r="O24" s="2" t="s">
        <v>32</v>
      </c>
      <c r="P24" s="2" t="s">
        <v>31</v>
      </c>
      <c r="Q24" s="2">
        <f t="shared" si="0"/>
        <v>4</v>
      </c>
      <c r="R24" s="2" t="s">
        <v>70</v>
      </c>
      <c r="AL24" s="3"/>
      <c r="AM24" s="4"/>
      <c r="AN24" s="4"/>
    </row>
    <row r="25" spans="1:40" x14ac:dyDescent="0.25">
      <c r="A25" s="2" t="s">
        <v>83</v>
      </c>
      <c r="B25" s="2" t="s">
        <v>70</v>
      </c>
      <c r="C25" s="2" t="s">
        <v>62</v>
      </c>
      <c r="D25" s="2" t="s">
        <v>124</v>
      </c>
      <c r="E25" s="2" t="s">
        <v>70</v>
      </c>
      <c r="F25" s="2" t="s">
        <v>122</v>
      </c>
      <c r="G25" s="2" t="s">
        <v>63</v>
      </c>
      <c r="H25" s="2" t="s">
        <v>70</v>
      </c>
      <c r="I25" s="2" t="s">
        <v>70</v>
      </c>
      <c r="J25" s="2" t="s">
        <v>70</v>
      </c>
      <c r="K25" s="2" t="s">
        <v>123</v>
      </c>
      <c r="N25" s="2" t="s">
        <v>121</v>
      </c>
      <c r="O25" s="2" t="s">
        <v>26</v>
      </c>
      <c r="P25" s="2" t="s">
        <v>25</v>
      </c>
      <c r="Q25" s="2">
        <f t="shared" si="0"/>
        <v>6</v>
      </c>
      <c r="R25" s="2" t="s">
        <v>62</v>
      </c>
      <c r="AL25" s="3"/>
      <c r="AM25" s="4"/>
      <c r="AN25" s="4"/>
    </row>
    <row r="26" spans="1:40" x14ac:dyDescent="0.25">
      <c r="A26" s="2" t="s">
        <v>83</v>
      </c>
      <c r="B26" s="2" t="s">
        <v>70</v>
      </c>
      <c r="C26" s="2" t="s">
        <v>62</v>
      </c>
      <c r="D26" s="2" t="s">
        <v>66</v>
      </c>
      <c r="E26" s="2" t="s">
        <v>128</v>
      </c>
      <c r="F26" s="2" t="s">
        <v>127</v>
      </c>
      <c r="G26" s="2" t="s">
        <v>63</v>
      </c>
      <c r="H26" s="2" t="s">
        <v>70</v>
      </c>
      <c r="I26" s="2" t="s">
        <v>70</v>
      </c>
      <c r="J26" s="2" t="s">
        <v>70</v>
      </c>
      <c r="K26" s="2" t="s">
        <v>53</v>
      </c>
      <c r="M26" s="2" t="s">
        <v>126</v>
      </c>
      <c r="N26" s="2" t="s">
        <v>125</v>
      </c>
      <c r="O26" s="2" t="s">
        <v>18</v>
      </c>
      <c r="P26" s="2" t="s">
        <v>17</v>
      </c>
      <c r="Q26" s="2">
        <f t="shared" si="0"/>
        <v>4</v>
      </c>
      <c r="R26" s="2" t="s">
        <v>62</v>
      </c>
      <c r="AL26" s="3"/>
      <c r="AM26" s="4"/>
      <c r="AN26" s="4"/>
    </row>
    <row r="27" spans="1:40" x14ac:dyDescent="0.25">
      <c r="A27" s="2" t="s">
        <v>77</v>
      </c>
      <c r="B27" s="2" t="s">
        <v>70</v>
      </c>
      <c r="C27" s="2" t="s">
        <v>62</v>
      </c>
      <c r="D27" s="2" t="s">
        <v>115</v>
      </c>
      <c r="E27" s="2" t="s">
        <v>62</v>
      </c>
      <c r="F27" s="2" t="s">
        <v>70</v>
      </c>
      <c r="G27" s="2" t="s">
        <v>70</v>
      </c>
      <c r="H27" s="2" t="s">
        <v>70</v>
      </c>
      <c r="I27" s="2" t="s">
        <v>70</v>
      </c>
      <c r="J27" s="2" t="s">
        <v>70</v>
      </c>
      <c r="K27" s="2" t="s">
        <v>53</v>
      </c>
      <c r="N27" s="2" t="s">
        <v>129</v>
      </c>
      <c r="O27" s="2" t="s">
        <v>6</v>
      </c>
      <c r="P27" s="2" t="s">
        <v>5</v>
      </c>
      <c r="Q27" s="2">
        <f t="shared" si="0"/>
        <v>5</v>
      </c>
      <c r="R27" s="2" t="s">
        <v>70</v>
      </c>
      <c r="AL27" s="3"/>
      <c r="AM27" s="4"/>
      <c r="AN27" s="4"/>
    </row>
    <row r="28" spans="1:40" x14ac:dyDescent="0.25">
      <c r="A28" s="2" t="s">
        <v>83</v>
      </c>
      <c r="B28" s="2" t="s">
        <v>70</v>
      </c>
      <c r="C28" s="2" t="s">
        <v>62</v>
      </c>
      <c r="D28" s="2" t="s">
        <v>68</v>
      </c>
      <c r="E28" s="2" t="s">
        <v>62</v>
      </c>
      <c r="F28" s="2" t="s">
        <v>132</v>
      </c>
      <c r="G28" s="2" t="s">
        <v>63</v>
      </c>
      <c r="H28" s="2" t="s">
        <v>67</v>
      </c>
      <c r="I28" s="2" t="s">
        <v>70</v>
      </c>
      <c r="J28" s="2" t="s">
        <v>62</v>
      </c>
      <c r="K28" s="2" t="s">
        <v>131</v>
      </c>
      <c r="M28" s="2" t="s">
        <v>133</v>
      </c>
      <c r="N28" s="2" t="s">
        <v>130</v>
      </c>
      <c r="O28" s="2" t="s">
        <v>42</v>
      </c>
      <c r="P28" s="2" t="s">
        <v>41</v>
      </c>
      <c r="Q28" s="2">
        <f t="shared" si="0"/>
        <v>7</v>
      </c>
      <c r="R28" s="2" t="s">
        <v>62</v>
      </c>
      <c r="AL28" s="3"/>
      <c r="AM28" s="4"/>
      <c r="AN28" s="4"/>
    </row>
    <row r="30" spans="1:40" x14ac:dyDescent="0.25">
      <c r="R30" s="2" t="s">
        <v>62</v>
      </c>
      <c r="S30" s="2">
        <f>COUNTIF($R$4:$R$28,R30)</f>
        <v>11</v>
      </c>
    </row>
    <row r="31" spans="1:40" x14ac:dyDescent="0.25">
      <c r="R31" s="2" t="s">
        <v>70</v>
      </c>
      <c r="S31" s="2">
        <f>COUNTIF($R$4:$R$28,R31)</f>
        <v>14</v>
      </c>
    </row>
    <row r="32" spans="1:40" x14ac:dyDescent="0.25">
      <c r="S32" s="2">
        <f>S30/25</f>
        <v>0.44</v>
      </c>
    </row>
    <row r="36" spans="17:18" x14ac:dyDescent="0.25">
      <c r="Q36" s="2" t="s">
        <v>4</v>
      </c>
      <c r="R36" s="3">
        <v>44074</v>
      </c>
    </row>
  </sheetData>
  <sortState ref="N2:P26">
    <sortCondition ref="O2:O26"/>
  </sortState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27"/>
  <sheetViews>
    <sheetView workbookViewId="0">
      <selection activeCell="A32" sqref="A32"/>
    </sheetView>
  </sheetViews>
  <sheetFormatPr baseColWidth="10" defaultRowHeight="15" x14ac:dyDescent="0.25"/>
  <cols>
    <col min="1" max="1" width="255.7109375" bestFit="1" customWidth="1"/>
  </cols>
  <sheetData>
    <row r="3" spans="1:1" x14ac:dyDescent="0.25">
      <c r="A3" s="6" t="s">
        <v>146</v>
      </c>
    </row>
    <row r="4" spans="1:1" x14ac:dyDescent="0.25">
      <c r="A4" s="6" t="s">
        <v>147</v>
      </c>
    </row>
    <row r="5" spans="1:1" x14ac:dyDescent="0.25">
      <c r="A5" s="6" t="s">
        <v>148</v>
      </c>
    </row>
    <row r="6" spans="1:1" x14ac:dyDescent="0.25">
      <c r="A6" s="6" t="s">
        <v>149</v>
      </c>
    </row>
    <row r="7" spans="1:1" x14ac:dyDescent="0.25">
      <c r="A7" s="6" t="s">
        <v>150</v>
      </c>
    </row>
    <row r="8" spans="1:1" x14ac:dyDescent="0.25">
      <c r="A8" s="6" t="s">
        <v>151</v>
      </c>
    </row>
    <row r="9" spans="1:1" x14ac:dyDescent="0.25">
      <c r="A9" s="6" t="s">
        <v>152</v>
      </c>
    </row>
    <row r="10" spans="1:1" x14ac:dyDescent="0.25">
      <c r="A10" s="6" t="s">
        <v>153</v>
      </c>
    </row>
    <row r="11" spans="1:1" x14ac:dyDescent="0.25">
      <c r="A11" s="6" t="s">
        <v>154</v>
      </c>
    </row>
    <row r="12" spans="1:1" x14ac:dyDescent="0.25">
      <c r="A12" s="6" t="s">
        <v>155</v>
      </c>
    </row>
    <row r="13" spans="1:1" x14ac:dyDescent="0.25">
      <c r="A13" s="6" t="s">
        <v>156</v>
      </c>
    </row>
    <row r="14" spans="1:1" x14ac:dyDescent="0.25">
      <c r="A14" s="6" t="s">
        <v>157</v>
      </c>
    </row>
    <row r="15" spans="1:1" x14ac:dyDescent="0.25">
      <c r="A15" s="6" t="s">
        <v>158</v>
      </c>
    </row>
    <row r="16" spans="1:1" x14ac:dyDescent="0.25">
      <c r="A16" s="6" t="s">
        <v>159</v>
      </c>
    </row>
    <row r="17" spans="1:1" x14ac:dyDescent="0.25">
      <c r="A17" s="6" t="s">
        <v>160</v>
      </c>
    </row>
    <row r="18" spans="1:1" x14ac:dyDescent="0.25">
      <c r="A18" s="6" t="s">
        <v>161</v>
      </c>
    </row>
    <row r="19" spans="1:1" x14ac:dyDescent="0.25">
      <c r="A19" s="6" t="s">
        <v>162</v>
      </c>
    </row>
    <row r="20" spans="1:1" x14ac:dyDescent="0.25">
      <c r="A20" s="6" t="s">
        <v>163</v>
      </c>
    </row>
    <row r="21" spans="1:1" x14ac:dyDescent="0.25">
      <c r="A21" s="6" t="s">
        <v>164</v>
      </c>
    </row>
    <row r="22" spans="1:1" x14ac:dyDescent="0.25">
      <c r="A22" s="6" t="s">
        <v>165</v>
      </c>
    </row>
    <row r="23" spans="1:1" x14ac:dyDescent="0.25">
      <c r="A23" s="6" t="s">
        <v>166</v>
      </c>
    </row>
    <row r="24" spans="1:1" x14ac:dyDescent="0.25">
      <c r="A24" s="6" t="s">
        <v>167</v>
      </c>
    </row>
    <row r="25" spans="1:1" x14ac:dyDescent="0.25">
      <c r="A25" s="6" t="s">
        <v>168</v>
      </c>
    </row>
    <row r="26" spans="1:1" x14ac:dyDescent="0.25">
      <c r="A26" s="6" t="s">
        <v>169</v>
      </c>
    </row>
    <row r="27" spans="1:1" x14ac:dyDescent="0.25">
      <c r="A27" s="6" t="s">
        <v>170</v>
      </c>
    </row>
  </sheetData>
  <hyperlinks>
    <hyperlink ref="A3" r:id="rId1" display="https://doi.org/10.1109/ICRA40945.2020.9196796"/>
    <hyperlink ref="A4" r:id="rId2" display="https://doi.org/10.1109/ICRA40945.2020.9197318"/>
    <hyperlink ref="A5" r:id="rId3" display="https://doi.org/10.1109/ICRA40945.2020.9196885"/>
    <hyperlink ref="A6" r:id="rId4" display="https://doi.org/10.1109/ICRA40945.2020.9196621"/>
    <hyperlink ref="A7" r:id="rId5" display="https://doi.org/10.1109/ICRA40945.2020.9197008"/>
    <hyperlink ref="A8" r:id="rId6" display="https://doi.org/10.1109/ICRA40945.2020.9196673"/>
    <hyperlink ref="A9" r:id="rId7" display="https://doi.org/10.1109/ICRA40945.2020.9197567"/>
    <hyperlink ref="A10" r:id="rId8" display="https://doi.org/10.1109/ICRA40945.2020.9196679"/>
    <hyperlink ref="A11" r:id="rId9" display="https://doi.org/10.1109/ICRA40945.2020.9196884"/>
    <hyperlink ref="A12" r:id="rId10" display="https://doi.org/10.1109/ICRA40945.2020.9196777"/>
    <hyperlink ref="A13" r:id="rId11" display="https://doi.org/10.1109/ICRA40945.2020.9197503"/>
    <hyperlink ref="A14" r:id="rId12" display="https://doi.org/10.1109/ICRA40945.2020.9197298"/>
    <hyperlink ref="A15" r:id="rId13" display="https://doi.org/10.1109/ICRA40945.2020.9196764"/>
    <hyperlink ref="A16" r:id="rId14" display="https://doi.org/10.1109/ICRA40945.2020.9196944"/>
    <hyperlink ref="A17" r:id="rId15" display="https://doi.org/10.1109/ICRA40945.2020.9197440"/>
    <hyperlink ref="A18" r:id="rId16" display="https://doi.org/10.1109/ICRA40945.2020.9197082"/>
    <hyperlink ref="A19" r:id="rId17" display="https://doi.org/10.1109/ICRA40945.2020.9196733"/>
    <hyperlink ref="A20" r:id="rId18" display="https://doi.org/10.1109/ICRA40945.2020.9196964"/>
    <hyperlink ref="A21" r:id="rId19" display="https://doi.org/10.1109/ICRA40945.2020.9196524"/>
    <hyperlink ref="A22" r:id="rId20" display="https://doi.org/10.1109/ICRA40945.2020.9196740"/>
    <hyperlink ref="A23" r:id="rId21" display="https://doi.org/10.1109/ICRA40945.2020.9197031"/>
    <hyperlink ref="A24" r:id="rId22" display="https://doi.org/10.1109/ICRA40945.2020.9196697"/>
    <hyperlink ref="A25" r:id="rId23" display="https://doi.org/10.1109/ICRA40945.2020.9197313"/>
    <hyperlink ref="A26" r:id="rId24" display="https://doi.org/10.1109/ICRA40945.2020.9197518"/>
    <hyperlink ref="A27" r:id="rId25" display="https://doi.org/10.1109/ICRA40945.2020.9196714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icra_results</vt:lpstr>
      <vt:lpstr>icra_bibliography</vt:lpstr>
      <vt:lpstr>icra_results!ICRA2020mostcited</vt:lpstr>
    </vt:vector>
  </TitlesOfParts>
  <Company>Hochschule für angewandte Wissenschaften Kempten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Weber, Irene, Prof. Dr.</dc:creator>
  <cp:lastModifiedBy>Weber, Irene, Prof. Dr.</cp:lastModifiedBy>
  <dcterms:created xsi:type="dcterms:W3CDTF">2022-06-11T08:59:39Z</dcterms:created>
  <dcterms:modified xsi:type="dcterms:W3CDTF">2022-06-12T12:16:12Z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8d3df937-3aca-43f7-9af8-23990a9169e2</vt:lpwstr>
  </property>
</Properties>
</file>